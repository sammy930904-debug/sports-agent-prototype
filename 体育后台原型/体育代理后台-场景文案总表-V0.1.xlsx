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场景文案总表" sheetId="1" state="visible" r:id="rId3"/>
    <sheet name="文案原则" sheetId="2" state="visible" r:id="rId4"/>
    <sheet name="统计" sheetId="3" state="visible" r:id="rId5"/>
  </sheets>
  <definedNames>
    <definedName function="false" hidden="true" localSheetId="0" name="_xlnm._FilterDatabase" vbProcedure="false">场景文案总表!$A$1:$J$54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<sst xmlns="http://schemas.openxmlformats.org/spreadsheetml/2006/main" count="575" uniqueCount="435">
  <si>
    <t xml:space="preserve">分组</t>
  </si>
  <si>
    <r>
      <rPr>
        <b val="true"/>
        <sz val="11"/>
        <color rgb="FFFFFFFF"/>
        <rFont val="DejaVu Sans"/>
        <family val="2"/>
      </rPr>
      <t xml:space="preserve">场景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</si>
  <si>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I18N Key</t>
  </si>
  <si>
    <t xml:space="preserve">触发条件</t>
  </si>
  <si>
    <r>
      <rPr>
        <b val="true"/>
        <sz val="11"/>
        <color rgb="FFFFFFFF"/>
        <rFont val="DejaVu Sans"/>
        <family val="2"/>
      </rPr>
      <t xml:space="preserve">中文</t>
    </r>
    <r>
      <rPr>
        <b val="true"/>
        <sz val="11"/>
        <color rgb="FFFFFFFF"/>
        <rFont val="Arial"/>
        <family val="0"/>
        <charset val="1"/>
      </rPr>
      <t xml:space="preserve">(zh-CN)</t>
    </r>
  </si>
  <si>
    <t xml:space="preserve">English(en-US)</t>
  </si>
  <si>
    <r>
      <rPr>
        <b val="true"/>
        <sz val="11"/>
        <color rgb="FFFFFFFF"/>
        <rFont val="DejaVu Sans"/>
        <family val="2"/>
      </rPr>
      <t xml:space="preserve">한국어</t>
    </r>
    <r>
      <rPr>
        <b val="true"/>
        <sz val="11"/>
        <color rgb="FFFFFFFF"/>
        <rFont val="Arial"/>
        <family val="0"/>
        <charset val="1"/>
      </rPr>
      <t xml:space="preserve">(ko-KR)</t>
    </r>
  </si>
  <si>
    <r>
      <rPr>
        <b val="true"/>
        <sz val="11"/>
        <color rgb="FFFFFFFF"/>
        <rFont val="Arial"/>
        <family val="0"/>
        <charset val="1"/>
      </rPr>
      <t xml:space="preserve">UI </t>
    </r>
    <r>
      <rPr>
        <b val="true"/>
        <sz val="11"/>
        <color rgb="FFFFFFFF"/>
        <rFont val="DejaVu Sans"/>
        <family val="2"/>
      </rPr>
      <t xml:space="preserve">呈现位置</t>
    </r>
  </si>
  <si>
    <t xml:space="preserve">下一步动作</t>
  </si>
  <si>
    <t xml:space="preserve">兜底联系方</t>
  </si>
  <si>
    <t xml:space="preserve">通用</t>
  </si>
  <si>
    <t xml:space="preserve">COM-01</t>
  </si>
  <si>
    <t xml:space="preserve">op_pwd_empty</t>
  </si>
  <si>
    <t xml:space="preserve">敏感操作弹窗未输入操作密码提交</t>
  </si>
  <si>
    <t xml:space="preserve">请输入您的操作密码</t>
  </si>
  <si>
    <t xml:space="preserve">Please enter your operation password.</t>
  </si>
  <si>
    <r>
      <rPr>
        <sz val="10"/>
        <rFont val="DejaVu Sans"/>
        <family val="2"/>
      </rPr>
      <t xml:space="preserve">운영 비밀번호를 입력해 주세요</t>
    </r>
    <r>
      <rPr>
        <sz val="10"/>
        <rFont val="Arial"/>
        <family val="0"/>
        <charset val="1"/>
      </rPr>
      <t xml:space="preserve">.</t>
    </r>
  </si>
  <si>
    <t xml:space="preserve">操作密码字段下红字</t>
  </si>
  <si>
    <t xml:space="preserve">聚焦操作密码字段</t>
  </si>
  <si>
    <t xml:space="preserve">—</t>
  </si>
  <si>
    <t xml:space="preserve">COM-02</t>
  </si>
  <si>
    <t xml:space="preserve">op_pwd_wrong</t>
  </si>
  <si>
    <t xml:space="preserve">敏感操作弹窗操作密码与登录密码不匹配</t>
  </si>
  <si>
    <r>
      <rPr>
        <sz val="10"/>
        <rFont val="DejaVu Sans"/>
        <family val="2"/>
      </rPr>
      <t xml:space="preserve">操作密码不正确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请您重新输入</t>
    </r>
  </si>
  <si>
    <t xml:space="preserve">The operation password doesn't match. Please try again.</t>
  </si>
  <si>
    <r>
      <rPr>
        <sz val="10"/>
        <rFont val="DejaVu Sans"/>
        <family val="2"/>
      </rPr>
      <t xml:space="preserve">운영 비밀번호가 일치하지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입력해 주세요</t>
    </r>
    <r>
      <rPr>
        <sz val="10"/>
        <rFont val="Arial"/>
        <family val="0"/>
        <charset val="1"/>
      </rPr>
      <t xml:space="preserve">.</t>
    </r>
  </si>
  <si>
    <t xml:space="preserve">清空并聚焦操作密码字段</t>
  </si>
  <si>
    <t xml:space="preserve">COM-03</t>
  </si>
  <si>
    <t xml:space="preserve">op_pwd_locked</t>
  </si>
  <si>
    <r>
      <rPr>
        <sz val="10"/>
        <rFont val="DejaVu Sans"/>
        <family val="2"/>
      </rPr>
      <t xml:space="preserve">连续多次错误后操作暂时受限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阈值不对外暴露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</si>
  <si>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为保护您的账号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操作已暂时受限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请您稍后再试</t>
    </r>
  </si>
  <si>
    <t xml:space="preserve">To protect your account, this action is temporarily restricted. Please try again later.</t>
  </si>
  <si>
    <r>
      <rPr>
        <sz val="10"/>
        <rFont val="DejaVu Sans"/>
        <family val="2"/>
      </rPr>
      <t xml:space="preserve">계정 보호를 위해 잠시 작업이 제한됩니다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</si>
  <si>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操作密码字段下红字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确认按钮灰态</t>
    </r>
  </si>
  <si>
    <r>
      <rPr>
        <sz val="10"/>
        <rFont val="DejaVu Sans"/>
        <family val="2"/>
      </rPr>
      <t xml:space="preserve">不显示倒计时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提示稍后再试</t>
    </r>
  </si>
  <si>
    <t xml:space="preserve">技术支持</t>
  </si>
  <si>
    <t xml:space="preserve">登录</t>
  </si>
  <si>
    <t xml:space="preserve">LGN-01</t>
  </si>
  <si>
    <t xml:space="preserve">login_empty</t>
  </si>
  <si>
    <t xml:space="preserve">账号或密码任一字段为空时提交</t>
  </si>
  <si>
    <t xml:space="preserve">请输入您的账号和密码</t>
  </si>
  <si>
    <t xml:space="preserve">Please enter your account and password.</t>
  </si>
  <si>
    <r>
      <rPr>
        <sz val="10"/>
        <rFont val="DejaVu Sans"/>
        <family val="2"/>
      </rPr>
      <t xml:space="preserve">계정과 비밀번호를 입력해 주세요</t>
    </r>
    <r>
      <rPr>
        <sz val="10"/>
        <rFont val="Arial"/>
        <family val="0"/>
        <charset val="1"/>
      </rPr>
      <t xml:space="preserve">.</t>
    </r>
  </si>
  <si>
    <t xml:space="preserve">表单下方红色小字</t>
  </si>
  <si>
    <t xml:space="preserve">聚焦到空字段</t>
  </si>
  <si>
    <t xml:space="preserve">LGN-02</t>
  </si>
  <si>
    <t xml:space="preserve">login_invalid</t>
  </si>
  <si>
    <r>
      <rPr>
        <sz val="10"/>
        <rFont val="DejaVu Sans"/>
        <family val="2"/>
      </rPr>
      <t xml:space="preserve">账号不存在 或 密码不对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合并场景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防枚举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</si>
  <si>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账号或密码不正确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请您再确认后输入</t>
    </r>
  </si>
  <si>
    <t xml:space="preserve">The account or password doesn't match. Please check and try again.</t>
  </si>
  <si>
    <r>
      <rPr>
        <sz val="10"/>
        <rFont val="DejaVu Sans"/>
        <family val="2"/>
      </rPr>
      <t xml:space="preserve">계정 또는 비밀번호가 일치하지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확인해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</si>
  <si>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密码框清空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聚焦</t>
    </r>
  </si>
  <si>
    <t xml:space="preserve">LGN-03</t>
  </si>
  <si>
    <t xml:space="preserve">login_disabled</t>
  </si>
  <si>
    <t xml:space="preserve">账号被上级或风控暂停后尝试登录</t>
  </si>
  <si>
    <r>
      <rPr>
        <sz val="10"/>
        <rFont val="DejaVu Sans"/>
        <family val="2"/>
      </rPr>
      <t xml:space="preserve">账号暂时无法登录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请您联系技术支持协助处理</t>
    </r>
  </si>
  <si>
    <t xml:space="preserve">This account can't sign in at the moment. Please contact technical support for assistance.</t>
  </si>
  <si>
    <r>
      <rPr>
        <sz val="10"/>
        <rFont val="DejaVu Sans"/>
        <family val="2"/>
      </rPr>
      <t xml:space="preserve">현재 이 계정으로 로그인할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기술 지원팀으로 문의해 주세요</t>
    </r>
    <r>
      <rPr>
        <sz val="10"/>
        <rFont val="Arial"/>
        <family val="0"/>
        <charset val="1"/>
      </rPr>
      <t xml:space="preserve">.</t>
    </r>
  </si>
  <si>
    <t xml:space="preserve">保留账号输入便于核实</t>
  </si>
  <si>
    <t xml:space="preserve">LGN-04</t>
  </si>
  <si>
    <t xml:space="preserve">login_locked</t>
  </si>
  <si>
    <r>
      <rPr>
        <sz val="10"/>
        <rFont val="DejaVu Sans"/>
        <family val="2"/>
      </rPr>
      <t xml:space="preserve">连续登录失败触发锁定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阈值与时长不对外暴露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</si>
  <si>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登录尝试过于频繁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请您稍后再试</t>
    </r>
  </si>
  <si>
    <t xml:space="preserve">Too many sign-in attempts. Please try again later.</t>
  </si>
  <si>
    <r>
      <rPr>
        <sz val="10"/>
        <rFont val="DejaVu Sans"/>
        <family val="2"/>
      </rPr>
      <t xml:space="preserve">로그인 시도가 너무 많습니다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</si>
  <si>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按钮灰态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不显示倒计时</t>
    </r>
  </si>
  <si>
    <r>
      <rPr>
        <sz val="10"/>
        <rFont val="Arial"/>
        <family val="0"/>
        <charset val="1"/>
      </rPr>
      <t xml:space="preserve">—(</t>
    </r>
    <r>
      <rPr>
        <sz val="10"/>
        <rFont val="DejaVu Sans"/>
        <family val="2"/>
      </rPr>
      <t xml:space="preserve">刻意不给时间参考</t>
    </r>
    <r>
      <rPr>
        <sz val="10"/>
        <rFont val="Arial"/>
        <family val="0"/>
        <charset val="1"/>
      </rPr>
      <t xml:space="preserve">)</t>
    </r>
  </si>
  <si>
    <t xml:space="preserve">LGN-05</t>
  </si>
  <si>
    <t xml:space="preserve">login_network</t>
  </si>
  <si>
    <r>
      <rPr>
        <sz val="10"/>
        <rFont val="DejaVu Sans"/>
        <family val="2"/>
      </rPr>
      <t xml:space="preserve">登录请求超时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网络抖动</t>
    </r>
  </si>
  <si>
    <r>
      <rPr>
        <sz val="10"/>
        <rFont val="DejaVu Sans"/>
        <family val="2"/>
      </rPr>
      <t xml:space="preserve">网络连接不太稳定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请您稍后再试一次</t>
    </r>
  </si>
  <si>
    <t xml:space="preserve">Your connection seems unstable. Please try again in a moment.</t>
  </si>
  <si>
    <r>
      <rPr>
        <sz val="10"/>
        <rFont val="DejaVu Sans"/>
        <family val="2"/>
      </rPr>
      <t xml:space="preserve">네트워크가 불안정합니다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Arial"/>
        <family val="0"/>
        <charset val="1"/>
      </rPr>
      <t xml:space="preserve">.</t>
    </r>
  </si>
  <si>
    <t xml:space="preserve">表单下方小字</t>
  </si>
  <si>
    <r>
      <rPr>
        <sz val="10"/>
        <rFont val="DejaVu Sans"/>
        <family val="2"/>
      </rPr>
      <t xml:space="preserve">密码不清空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便于重试</t>
    </r>
  </si>
  <si>
    <t xml:space="preserve">LGN-06</t>
  </si>
  <si>
    <t xml:space="preserve">login_server</t>
  </si>
  <si>
    <r>
      <rPr>
        <sz val="10"/>
        <rFont val="DejaVu Sans"/>
        <family val="2"/>
      </rPr>
      <t xml:space="preserve">后端 </t>
    </r>
    <r>
      <rPr>
        <sz val="10"/>
        <rFont val="Arial"/>
        <family val="0"/>
        <charset val="1"/>
      </rPr>
      <t xml:space="preserve">5xx / </t>
    </r>
    <r>
      <rPr>
        <sz val="10"/>
        <rFont val="DejaVu Sans"/>
        <family val="2"/>
      </rPr>
      <t xml:space="preserve">服务不可达</t>
    </r>
  </si>
  <si>
    <r>
      <rPr>
        <sz val="10"/>
        <rFont val="DejaVu Sans"/>
        <family val="2"/>
      </rPr>
      <t xml:space="preserve">服务正在恢复中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请您稍后再试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如持续未恢复请联系技术支持</t>
    </r>
  </si>
  <si>
    <t xml:space="preserve">We're getting things back to normal. Please try again shortly, or contact technical support if it persists.</t>
  </si>
  <si>
    <r>
      <rPr>
        <sz val="10"/>
        <rFont val="DejaVu Sans"/>
        <family val="2"/>
      </rPr>
      <t xml:space="preserve">서비스가 곧 정상화됩니다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시도하시고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계속되면 기술 지원팀으로 문의해 주세요</t>
    </r>
    <r>
      <rPr>
        <sz val="10"/>
        <rFont val="Arial"/>
        <family val="0"/>
        <charset val="1"/>
      </rPr>
      <t xml:space="preserve">.</t>
    </r>
  </si>
  <si>
    <t xml:space="preserve">密码不清空</t>
  </si>
  <si>
    <t xml:space="preserve">下线列表</t>
  </si>
  <si>
    <t xml:space="preserve">LST-01</t>
  </si>
  <si>
    <t xml:space="preserve">list_empty</t>
  </si>
  <si>
    <t xml:space="preserve">新代理首次登录时下线列表为空</t>
  </si>
  <si>
    <r>
      <rPr>
        <sz val="10"/>
        <rFont val="DejaVu Sans"/>
        <family val="2"/>
      </rPr>
      <t xml:space="preserve">您还没有下线账号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可以点右上角「新增下线」开始创建</t>
    </r>
  </si>
  <si>
    <t xml:space="preserve">You don't have any sub-accounts yet. Click "Add Sub" in the top right to create one.</t>
  </si>
  <si>
    <r>
      <rPr>
        <sz val="10"/>
        <rFont val="DejaVu Sans"/>
        <family val="2"/>
      </rPr>
      <t xml:space="preserve">아직 하위 계정이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우측 상단 「하위 추가」를 눌러 시작해 주세요</t>
    </r>
    <r>
      <rPr>
        <sz val="10"/>
        <rFont val="Arial"/>
        <family val="0"/>
        <charset val="1"/>
      </rPr>
      <t xml:space="preserve">.</t>
    </r>
  </si>
  <si>
    <t xml:space="preserve">表格中央空态图文</t>
  </si>
  <si>
    <t xml:space="preserve">引导至新增下线入口</t>
  </si>
  <si>
    <t xml:space="preserve">LST-02</t>
  </si>
  <si>
    <t xml:space="preserve">list_no_match</t>
  </si>
  <si>
    <t xml:space="preserve">搜索关键字未匹配任何账号</t>
  </si>
  <si>
    <r>
      <rPr>
        <sz val="10"/>
        <rFont val="DejaVu Sans"/>
        <family val="2"/>
      </rPr>
      <t xml:space="preserve">未找到匹配账号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请您确认关键字后重试</t>
    </r>
  </si>
  <si>
    <t xml:space="preserve">No matching accounts found. Please check the keyword and try again.</t>
  </si>
  <si>
    <r>
      <rPr>
        <sz val="10"/>
        <rFont val="DejaVu Sans"/>
        <family val="2"/>
      </rPr>
      <t xml:space="preserve">일치하는 계정을 찾을 수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검색어를 확인한 후 다시 시도해 주세요</t>
    </r>
    <r>
      <rPr>
        <sz val="10"/>
        <rFont val="Arial"/>
        <family val="0"/>
        <charset val="1"/>
      </rPr>
      <t xml:space="preserve">.</t>
    </r>
  </si>
  <si>
    <t xml:space="preserve">保留关键字便于编辑</t>
  </si>
  <si>
    <t xml:space="preserve">LST-03</t>
  </si>
  <si>
    <t xml:space="preserve">list_range_exceed</t>
  </si>
  <si>
    <r>
      <rPr>
        <sz val="10"/>
        <rFont val="DejaVu Sans"/>
        <family val="2"/>
      </rPr>
      <t xml:space="preserve">自定义时间跨度超过 </t>
    </r>
    <r>
      <rPr>
        <sz val="10"/>
        <rFont val="Arial"/>
        <family val="0"/>
        <charset val="1"/>
      </rPr>
      <t xml:space="preserve">92 </t>
    </r>
    <r>
      <rPr>
        <sz val="10"/>
        <rFont val="DejaVu Sans"/>
        <family val="2"/>
      </rPr>
      <t xml:space="preserve">天</t>
    </r>
  </si>
  <si>
    <r>
      <rPr>
        <sz val="10"/>
        <rFont val="DejaVu Sans"/>
        <family val="2"/>
      </rPr>
      <t xml:space="preserve">时间范围最多可查询 </t>
    </r>
    <r>
      <rPr>
        <sz val="10"/>
        <rFont val="Arial"/>
        <family val="0"/>
        <charset val="1"/>
      </rPr>
      <t xml:space="preserve">92 </t>
    </r>
    <r>
      <rPr>
        <sz val="10"/>
        <rFont val="DejaVu Sans"/>
        <family val="2"/>
      </rPr>
      <t xml:space="preserve">天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请您缩短后重试</t>
    </r>
  </si>
  <si>
    <t xml:space="preserve">The query range can be up to 92 days. Please shorten it and try again.</t>
  </si>
  <si>
    <r>
      <rPr>
        <sz val="10"/>
        <rFont val="DejaVu Sans"/>
        <family val="2"/>
      </rPr>
      <t xml:space="preserve">조회 기간은 최대 </t>
    </r>
    <r>
      <rPr>
        <sz val="10"/>
        <rFont val="Arial"/>
        <family val="0"/>
        <charset val="1"/>
      </rPr>
      <t xml:space="preserve">92</t>
    </r>
    <r>
      <rPr>
        <sz val="10"/>
        <rFont val="DejaVu Sans"/>
        <family val="2"/>
      </rPr>
      <t xml:space="preserve">일까지 가능합니다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기간을 조정한 후 다시 시도해 주세요</t>
    </r>
    <r>
      <rPr>
        <sz val="10"/>
        <rFont val="Arial"/>
        <family val="0"/>
        <charset val="1"/>
      </rPr>
      <t xml:space="preserve">.</t>
    </r>
  </si>
  <si>
    <t xml:space="preserve">时间控件下方红色小字</t>
  </si>
  <si>
    <t xml:space="preserve">查询按钮置灰</t>
  </si>
  <si>
    <t xml:space="preserve">新增下线</t>
  </si>
  <si>
    <t xml:space="preserve">NEW-01</t>
  </si>
  <si>
    <t xml:space="preserve">new_user_format</t>
  </si>
  <si>
    <r>
      <rPr>
        <sz val="10"/>
        <rFont val="DejaVu Sans"/>
        <family val="2"/>
      </rPr>
      <t xml:space="preserve">用户账号不符合「英文数字 </t>
    </r>
    <r>
      <rPr>
        <sz val="10"/>
        <rFont val="Arial"/>
        <family val="0"/>
        <charset val="1"/>
      </rPr>
      <t xml:space="preserve">6~20 </t>
    </r>
    <r>
      <rPr>
        <sz val="10"/>
        <rFont val="DejaVu Sans"/>
        <family val="2"/>
      </rPr>
      <t xml:space="preserve">位」规则</t>
    </r>
  </si>
  <si>
    <r>
      <rPr>
        <sz val="10"/>
        <rFont val="DejaVu Sans"/>
        <family val="2"/>
      </rPr>
      <t xml:space="preserve">用户账号仅支持英文及数字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长度 </t>
    </r>
    <r>
      <rPr>
        <sz val="10"/>
        <rFont val="Arial"/>
        <family val="0"/>
        <charset val="1"/>
      </rPr>
      <t xml:space="preserve">6~20 </t>
    </r>
    <r>
      <rPr>
        <sz val="10"/>
        <rFont val="DejaVu Sans"/>
        <family val="2"/>
      </rPr>
      <t xml:space="preserve">位</t>
    </r>
  </si>
  <si>
    <t xml:space="preserve">Username must be 6–20 characters using English letters and numbers only.</t>
  </si>
  <si>
    <r>
      <rPr>
        <sz val="10"/>
        <rFont val="DejaVu Sans"/>
        <family val="2"/>
      </rPr>
      <t xml:space="preserve">사용자 계정은 영문과 숫자로 </t>
    </r>
    <r>
      <rPr>
        <sz val="10"/>
        <rFont val="Arial"/>
        <family val="0"/>
        <charset val="1"/>
      </rPr>
      <t xml:space="preserve">6~20</t>
    </r>
    <r>
      <rPr>
        <sz val="10"/>
        <rFont val="DejaVu Sans"/>
        <family val="2"/>
      </rPr>
      <t xml:space="preserve">자여야 합니다</t>
    </r>
    <r>
      <rPr>
        <sz val="10"/>
        <rFont val="Arial"/>
        <family val="0"/>
        <charset val="1"/>
      </rPr>
      <t xml:space="preserve">.</t>
    </r>
  </si>
  <si>
    <t xml:space="preserve">用户账号字段下红字</t>
  </si>
  <si>
    <t xml:space="preserve">保留输入便于修正</t>
  </si>
  <si>
    <t xml:space="preserve">NEW-02</t>
  </si>
  <si>
    <t xml:space="preserve">new_user_taken</t>
  </si>
  <si>
    <r>
      <rPr>
        <sz val="10"/>
        <rFont val="DejaVu Sans"/>
        <family val="2"/>
      </rPr>
      <t xml:space="preserve">用户账号已被占用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全局唯一校验失败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</si>
  <si>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此账号已被使用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请您更换一个</t>
    </r>
  </si>
  <si>
    <t xml:space="preserve">This username is already taken. Please try another one.</t>
  </si>
  <si>
    <r>
      <rPr>
        <sz val="10"/>
        <rFont val="DejaVu Sans"/>
        <family val="2"/>
      </rPr>
      <t xml:space="preserve">이 계정은 이미 사용 중입니다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다른 계정을 입력해 주세요</t>
    </r>
    <r>
      <rPr>
        <sz val="10"/>
        <rFont val="Arial"/>
        <family val="0"/>
        <charset val="1"/>
      </rPr>
      <t xml:space="preserve">.</t>
    </r>
  </si>
  <si>
    <t xml:space="preserve">保留输入让用户修改</t>
  </si>
  <si>
    <t xml:space="preserve">NEW-03</t>
  </si>
  <si>
    <t xml:space="preserve">new_nick_empty</t>
  </si>
  <si>
    <t xml:space="preserve">账户昵称为空</t>
  </si>
  <si>
    <t xml:space="preserve">请您输入账户昵称</t>
  </si>
  <si>
    <t xml:space="preserve">Please enter an account nickname.</t>
  </si>
  <si>
    <r>
      <rPr>
        <sz val="10"/>
        <rFont val="DejaVu Sans"/>
        <family val="2"/>
      </rPr>
      <t xml:space="preserve">계정 닉네임을 입력해 주세요</t>
    </r>
    <r>
      <rPr>
        <sz val="10"/>
        <rFont val="Arial"/>
        <family val="0"/>
        <charset val="1"/>
      </rPr>
      <t xml:space="preserve">.</t>
    </r>
  </si>
  <si>
    <t xml:space="preserve">昵称字段下红字</t>
  </si>
  <si>
    <t xml:space="preserve">聚焦到昵称字段</t>
  </si>
  <si>
    <t xml:space="preserve">NEW-04</t>
  </si>
  <si>
    <t xml:space="preserve">new_pwd_empty</t>
  </si>
  <si>
    <t xml:space="preserve">登录密码为空</t>
  </si>
  <si>
    <t xml:space="preserve">请您输入登录密码</t>
  </si>
  <si>
    <t xml:space="preserve">Please enter a login password.</t>
  </si>
  <si>
    <r>
      <rPr>
        <sz val="10"/>
        <rFont val="DejaVu Sans"/>
        <family val="2"/>
      </rPr>
      <t xml:space="preserve">로그인 비밀번호를 입력해 주세요</t>
    </r>
    <r>
      <rPr>
        <sz val="10"/>
        <rFont val="Arial"/>
        <family val="0"/>
        <charset val="1"/>
      </rPr>
      <t xml:space="preserve">.</t>
    </r>
  </si>
  <si>
    <t xml:space="preserve">密码字段下红字</t>
  </si>
  <si>
    <t xml:space="preserve">聚焦到密码字段</t>
  </si>
  <si>
    <t xml:space="preserve">NEW-05</t>
  </si>
  <si>
    <t xml:space="preserve">new_pwd_mismatch</t>
  </si>
  <si>
    <t xml:space="preserve">两次密码输入不一致</t>
  </si>
  <si>
    <r>
      <rPr>
        <sz val="10"/>
        <rFont val="DejaVu Sans"/>
        <family val="2"/>
      </rPr>
      <t xml:space="preserve">两次密码不一致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请您重新输入</t>
    </r>
  </si>
  <si>
    <t xml:space="preserve">The passwords don't match. Please re-enter them.</t>
  </si>
  <si>
    <r>
      <rPr>
        <sz val="10"/>
        <rFont val="DejaVu Sans"/>
        <family val="2"/>
      </rPr>
      <t xml:space="preserve">비밀번호가 일치하지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입력해 주세요</t>
    </r>
    <r>
      <rPr>
        <sz val="10"/>
        <rFont val="Arial"/>
        <family val="0"/>
        <charset val="1"/>
      </rPr>
      <t xml:space="preserve">.</t>
    </r>
  </si>
  <si>
    <t xml:space="preserve">确认密码字段下红字</t>
  </si>
  <si>
    <t xml:space="preserve">清空确认密码并聚焦</t>
  </si>
  <si>
    <t xml:space="preserve">NEW-06</t>
  </si>
  <si>
    <t xml:space="preserve">new_scheme_empty</t>
  </si>
  <si>
    <r>
      <rPr>
        <sz val="10"/>
        <rFont val="DejaVu Sans"/>
        <family val="2"/>
      </rPr>
      <t xml:space="preserve">交收方案未选择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顶代新增场景</t>
    </r>
    <r>
      <rPr>
        <sz val="10"/>
        <rFont val="Arial"/>
        <family val="0"/>
        <charset val="1"/>
      </rPr>
      <t xml:space="preserve">)</t>
    </r>
  </si>
  <si>
    <t xml:space="preserve">请您选择一条交收方案</t>
  </si>
  <si>
    <t xml:space="preserve">Please select a settlement scheme.</t>
  </si>
  <si>
    <r>
      <rPr>
        <sz val="10"/>
        <rFont val="DejaVu Sans"/>
        <family val="2"/>
      </rPr>
      <t xml:space="preserve">정산 방안을 선택해 주세요</t>
    </r>
    <r>
      <rPr>
        <sz val="10"/>
        <rFont val="Arial"/>
        <family val="0"/>
        <charset val="1"/>
      </rPr>
      <t xml:space="preserve">.</t>
    </r>
  </si>
  <si>
    <t xml:space="preserve">方案区域顶部红字</t>
  </si>
  <si>
    <t xml:space="preserve">提交按钮置灰直到选中</t>
  </si>
  <si>
    <t xml:space="preserve">NEW-07</t>
  </si>
  <si>
    <t xml:space="preserve">new_rate_empty</t>
  </si>
  <si>
    <t xml:space="preserve">佣金率为空 或 非数字</t>
  </si>
  <si>
    <t xml:space="preserve">请您输入显示佣金率</t>
  </si>
  <si>
    <t xml:space="preserve">Please enter the display commission rate.</t>
  </si>
  <si>
    <r>
      <rPr>
        <sz val="10"/>
        <rFont val="DejaVu Sans"/>
        <family val="2"/>
      </rPr>
      <t xml:space="preserve">노출 수수료율을 입력해 주세요</t>
    </r>
    <r>
      <rPr>
        <sz val="10"/>
        <rFont val="Arial"/>
        <family val="0"/>
        <charset val="1"/>
      </rPr>
      <t xml:space="preserve">.</t>
    </r>
  </si>
  <si>
    <t xml:space="preserve">佣金率字段下红字</t>
  </si>
  <si>
    <t xml:space="preserve">聚焦到佣金率字段</t>
  </si>
  <si>
    <t xml:space="preserve">NEW-08</t>
  </si>
  <si>
    <t xml:space="preserve">new_rate_over</t>
  </si>
  <si>
    <t xml:space="preserve">佣金率大于上级该币种佣金率上限</t>
  </si>
  <si>
    <r>
      <rPr>
        <sz val="10"/>
        <rFont val="DejaVu Sans"/>
        <family val="2"/>
      </rPr>
      <t xml:space="preserve">佣金率不能高于上级上限 </t>
    </r>
    <r>
      <rPr>
        <sz val="10"/>
        <rFont val="Arial"/>
        <family val="0"/>
        <charset val="1"/>
      </rPr>
      <t xml:space="preserve">{x}%,</t>
    </r>
    <r>
      <rPr>
        <sz val="10"/>
        <rFont val="DejaVu Sans"/>
        <family val="2"/>
      </rPr>
      <t xml:space="preserve">请您调整后重试</t>
    </r>
  </si>
  <si>
    <t xml:space="preserve">The commission rate can't exceed the parent limit of {x}%. Please adjust and retry.</t>
  </si>
  <si>
    <r>
      <rPr>
        <sz val="10"/>
        <rFont val="DejaVu Sans"/>
        <family val="2"/>
      </rPr>
      <t xml:space="preserve">수수료율은 상위 한도 </t>
    </r>
    <r>
      <rPr>
        <sz val="10"/>
        <rFont val="Arial"/>
        <family val="0"/>
        <charset val="1"/>
      </rPr>
      <t xml:space="preserve">{x}%</t>
    </r>
    <r>
      <rPr>
        <sz val="10"/>
        <rFont val="DejaVu Sans"/>
        <family val="2"/>
      </rPr>
      <t xml:space="preserve">를 초과할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조정 후 다시 시도해 주세요</t>
    </r>
    <r>
      <rPr>
        <sz val="10"/>
        <rFont val="Arial"/>
        <family val="0"/>
        <charset val="1"/>
      </rPr>
      <t xml:space="preserve">.</t>
    </r>
  </si>
  <si>
    <t xml:space="preserve">提交按钮置灰</t>
  </si>
  <si>
    <t xml:space="preserve">NEW-09</t>
  </si>
  <si>
    <t xml:space="preserve">new_success</t>
  </si>
  <si>
    <t xml:space="preserve">新增下线成功</t>
  </si>
  <si>
    <r>
      <rPr>
        <sz val="10"/>
        <rFont val="DejaVu Sans"/>
        <family val="2"/>
      </rPr>
      <t xml:space="preserve">已为您创建下线</t>
    </r>
    <r>
      <rPr>
        <sz val="10"/>
        <rFont val="Arial"/>
        <family val="0"/>
        <charset val="1"/>
      </rPr>
      <t xml:space="preserve">:{id}</t>
    </r>
  </si>
  <si>
    <t xml:space="preserve">Sub-account created: {id}</t>
  </si>
  <si>
    <r>
      <rPr>
        <sz val="10"/>
        <rFont val="DejaVu Sans"/>
        <family val="2"/>
      </rPr>
      <t xml:space="preserve">하위 계정이 생성되었습니다</t>
    </r>
    <r>
      <rPr>
        <sz val="10"/>
        <rFont val="Arial"/>
        <family val="0"/>
        <charset val="1"/>
      </rPr>
      <t xml:space="preserve">: {id}</t>
    </r>
  </si>
  <si>
    <r>
      <rPr>
        <sz val="10"/>
        <rFont val="DejaVu Sans"/>
        <family val="2"/>
      </rPr>
      <t xml:space="preserve">顶部 </t>
    </r>
    <r>
      <rPr>
        <sz val="10"/>
        <rFont val="Arial"/>
        <family val="0"/>
        <charset val="1"/>
      </rPr>
      <t xml:space="preserve">Toast 3 </t>
    </r>
    <r>
      <rPr>
        <sz val="10"/>
        <rFont val="DejaVu Sans"/>
        <family val="2"/>
      </rPr>
      <t xml:space="preserve">秒自隐</t>
    </r>
  </si>
  <si>
    <r>
      <rPr>
        <sz val="10"/>
        <rFont val="DejaVu Sans"/>
        <family val="2"/>
      </rPr>
      <t xml:space="preserve">弹窗关闭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列表刷新</t>
    </r>
  </si>
  <si>
    <t xml:space="preserve">修改资料</t>
  </si>
  <si>
    <t xml:space="preserve">MDF-01</t>
  </si>
  <si>
    <t xml:space="preserve">edit_nick_empty</t>
  </si>
  <si>
    <t xml:space="preserve">修改资料时昵称被清空</t>
  </si>
  <si>
    <t xml:space="preserve">MDF-02</t>
  </si>
  <si>
    <t xml:space="preserve">edit_rate_over</t>
  </si>
  <si>
    <t xml:space="preserve">新佣金率大于上级上限</t>
  </si>
  <si>
    <t xml:space="preserve">MDF-03</t>
  </si>
  <si>
    <t xml:space="preserve">edit_rate_under</t>
  </si>
  <si>
    <r>
      <rPr>
        <sz val="10"/>
        <rFont val="DejaVu Sans"/>
        <family val="2"/>
      </rPr>
      <t xml:space="preserve">新佣金率低于本账号已存在直接下线中任一佣金率最大值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反超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</si>
  <si>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佣金率不能低于您已有下线的最高值 </t>
    </r>
    <r>
      <rPr>
        <sz val="10"/>
        <rFont val="Arial"/>
        <family val="0"/>
        <charset val="1"/>
      </rPr>
      <t xml:space="preserve">{y}%,</t>
    </r>
    <r>
      <rPr>
        <sz val="10"/>
        <rFont val="DejaVu Sans"/>
        <family val="2"/>
      </rPr>
      <t xml:space="preserve">请您调整后重试</t>
    </r>
  </si>
  <si>
    <t xml:space="preserve">The commission rate can't be below the highest value among existing sub-accounts ({y}%). Please adjust and retry.</t>
  </si>
  <si>
    <r>
      <rPr>
        <sz val="10"/>
        <rFont val="DejaVu Sans"/>
        <family val="2"/>
      </rPr>
      <t xml:space="preserve">기존 하위 계정 중 최고 수수료율 </t>
    </r>
    <r>
      <rPr>
        <sz val="10"/>
        <rFont val="Arial"/>
        <family val="0"/>
        <charset val="1"/>
      </rPr>
      <t xml:space="preserve">{y}%</t>
    </r>
    <r>
      <rPr>
        <sz val="10"/>
        <rFont val="DejaVu Sans"/>
        <family val="2"/>
      </rPr>
      <t xml:space="preserve">보다 낮을 수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조정 후 다시 시도해 주세요</t>
    </r>
    <r>
      <rPr>
        <sz val="10"/>
        <rFont val="Arial"/>
        <family val="0"/>
        <charset val="1"/>
      </rPr>
      <t xml:space="preserve">.</t>
    </r>
  </si>
  <si>
    <t xml:space="preserve">MDF-04</t>
  </si>
  <si>
    <t xml:space="preserve">edit_success</t>
  </si>
  <si>
    <t xml:space="preserve">修改资料成功</t>
  </si>
  <si>
    <t xml:space="preserve">修改已为您保存</t>
  </si>
  <si>
    <t xml:space="preserve">Your changes have been saved.</t>
  </si>
  <si>
    <r>
      <rPr>
        <sz val="10"/>
        <rFont val="DejaVu Sans"/>
        <family val="2"/>
      </rPr>
      <t xml:space="preserve">변경 사항이 저장되었습니다</t>
    </r>
    <r>
      <rPr>
        <sz val="10"/>
        <rFont val="Arial"/>
        <family val="0"/>
        <charset val="1"/>
      </rPr>
      <t xml:space="preserve">.</t>
    </r>
  </si>
  <si>
    <t xml:space="preserve">弹窗关闭</t>
  </si>
  <si>
    <t xml:space="preserve">上下分</t>
  </si>
  <si>
    <t xml:space="preserve">CRD-01</t>
  </si>
  <si>
    <t xml:space="preserve">credit_amount_invalid</t>
  </si>
  <si>
    <r>
      <rPr>
        <sz val="10"/>
        <rFont val="DejaVu Sans"/>
        <family val="2"/>
      </rPr>
      <t xml:space="preserve">金额为空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含字母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负数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小数超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位</t>
    </r>
  </si>
  <si>
    <r>
      <rPr>
        <sz val="10"/>
        <rFont val="DejaVu Sans"/>
        <family val="2"/>
      </rPr>
      <t xml:space="preserve">请您输入正确金额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最多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位小数</t>
    </r>
    <r>
      <rPr>
        <sz val="10"/>
        <rFont val="Arial"/>
        <family val="0"/>
        <charset val="1"/>
      </rPr>
      <t xml:space="preserve">)</t>
    </r>
  </si>
  <si>
    <t xml:space="preserve">Please enter a valid amount (up to 2 decimal places).</t>
  </si>
  <si>
    <r>
      <rPr>
        <sz val="10"/>
        <rFont val="DejaVu Sans"/>
        <family val="2"/>
      </rPr>
      <t xml:space="preserve">올바른 금액을 입력해 주세요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소수점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자리까지</t>
    </r>
    <r>
      <rPr>
        <sz val="10"/>
        <rFont val="Arial"/>
        <family val="0"/>
        <charset val="1"/>
      </rPr>
      <t xml:space="preserve">).</t>
    </r>
  </si>
  <si>
    <t xml:space="preserve">金额字段下红字</t>
  </si>
  <si>
    <r>
      <rPr>
        <sz val="10"/>
        <rFont val="DejaVu Sans"/>
        <family val="2"/>
      </rPr>
      <t xml:space="preserve">清空非法字符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保留数字部分</t>
    </r>
  </si>
  <si>
    <t xml:space="preserve">CRD-02</t>
  </si>
  <si>
    <t xml:space="preserve">credit_parent_low</t>
  </si>
  <si>
    <r>
      <rPr>
        <sz val="10"/>
        <rFont val="DejaVu Sans"/>
        <family val="2"/>
      </rPr>
      <t xml:space="preserve">上分时所选上级可用余额 </t>
    </r>
    <r>
      <rPr>
        <sz val="10"/>
        <rFont val="Arial"/>
        <family val="0"/>
        <charset val="1"/>
      </rPr>
      <t xml:space="preserve">&lt; amount</t>
    </r>
  </si>
  <si>
    <r>
      <rPr>
        <sz val="10"/>
        <rFont val="DejaVu Sans"/>
        <family val="2"/>
      </rPr>
      <t xml:space="preserve">上级余额不足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当前可用 </t>
    </r>
    <r>
      <rPr>
        <sz val="10"/>
        <rFont val="Arial"/>
        <family val="0"/>
        <charset val="1"/>
      </rPr>
      <t xml:space="preserve">{x},</t>
    </r>
    <r>
      <rPr>
        <sz val="10"/>
        <rFont val="DejaVu Sans"/>
        <family val="2"/>
      </rPr>
      <t xml:space="preserve">请您调整金额或先自账房补充</t>
    </r>
  </si>
  <si>
    <t xml:space="preserve">Parent balance is insufficient (available: {x}). Please adjust the amount or top up from the cashier first.</t>
  </si>
  <si>
    <r>
      <rPr>
        <sz val="10"/>
        <rFont val="DejaVu Sans"/>
        <family val="2"/>
      </rPr>
      <t xml:space="preserve">상위 잔액이 부족합니다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사용 가능</t>
    </r>
    <r>
      <rPr>
        <sz val="10"/>
        <rFont val="Arial"/>
        <family val="0"/>
        <charset val="1"/>
      </rPr>
      <t xml:space="preserve">: {x}). </t>
    </r>
    <r>
      <rPr>
        <sz val="10"/>
        <rFont val="DejaVu Sans"/>
        <family val="2"/>
      </rPr>
      <t xml:space="preserve">금액을 조정하거나 먼저 계산대에서 충전해 주세요</t>
    </r>
    <r>
      <rPr>
        <sz val="10"/>
        <rFont val="Arial"/>
        <family val="0"/>
        <charset val="1"/>
      </rPr>
      <t xml:space="preserve">.</t>
    </r>
  </si>
  <si>
    <t xml:space="preserve">保留金额输入</t>
  </si>
  <si>
    <t xml:space="preserve">CRD-03</t>
  </si>
  <si>
    <t xml:space="preserve">credit_child_low</t>
  </si>
  <si>
    <r>
      <rPr>
        <sz val="10"/>
        <rFont val="DejaVu Sans"/>
        <family val="2"/>
      </rPr>
      <t xml:space="preserve">下分时下级可用余额 </t>
    </r>
    <r>
      <rPr>
        <sz val="10"/>
        <rFont val="Arial"/>
        <family val="0"/>
        <charset val="1"/>
      </rPr>
      <t xml:space="preserve">&lt; amount</t>
    </r>
  </si>
  <si>
    <r>
      <rPr>
        <sz val="10"/>
        <rFont val="DejaVu Sans"/>
        <family val="2"/>
      </rPr>
      <t xml:space="preserve">下级当前余额不足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请您调整金额后重试</t>
    </r>
  </si>
  <si>
    <t xml:space="preserve">The sub-account balance is insufficient. Please adjust the amount and retry.</t>
  </si>
  <si>
    <r>
      <rPr>
        <sz val="10"/>
        <rFont val="DejaVu Sans"/>
        <family val="2"/>
      </rPr>
      <t xml:space="preserve">하위 계정 잔액이 부족합니다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금액을 조정한 후 다시 시도해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</si>
  <si>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金额字段下红字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金额框抖动</t>
    </r>
  </si>
  <si>
    <t xml:space="preserve">CRD-04</t>
  </si>
  <si>
    <t xml:space="preserve">credit_child_disabled</t>
  </si>
  <si>
    <t xml:space="preserve">目标下级账号已暂停</t>
  </si>
  <si>
    <r>
      <rPr>
        <sz val="10"/>
        <rFont val="DejaVu Sans"/>
        <family val="2"/>
      </rPr>
      <t xml:space="preserve">该下线账号当前已暂停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暂不能进行上分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下分</t>
    </r>
  </si>
  <si>
    <t xml:space="preserve">This sub-account is currently paused and can't receive transfers.</t>
  </si>
  <si>
    <r>
      <rPr>
        <sz val="10"/>
        <rFont val="DejaVu Sans"/>
        <family val="2"/>
      </rPr>
      <t xml:space="preserve">이 하위 계정은 현재 일시 중지되어 이체할 수 없습니다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</si>
  <si>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入口按钮 </t>
    </r>
    <r>
      <rPr>
        <sz val="10"/>
        <rFont val="Arial"/>
        <family val="0"/>
        <charset val="1"/>
      </rPr>
      <t xml:space="preserve">tooltip + </t>
    </r>
    <r>
      <rPr>
        <sz val="10"/>
        <rFont val="DejaVu Sans"/>
        <family val="2"/>
      </rPr>
      <t xml:space="preserve">置灰</t>
    </r>
  </si>
  <si>
    <t xml:space="preserve">不打开弹窗</t>
  </si>
  <si>
    <t xml:space="preserve">CRD-05</t>
  </si>
  <si>
    <t xml:space="preserve">credit_currency_mismatch</t>
  </si>
  <si>
    <r>
      <rPr>
        <sz val="10"/>
        <rFont val="DejaVu Sans"/>
        <family val="2"/>
      </rPr>
      <t xml:space="preserve">所选上级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下级币种不一致</t>
    </r>
  </si>
  <si>
    <r>
      <rPr>
        <sz val="10"/>
        <rFont val="DejaVu Sans"/>
        <family val="2"/>
      </rPr>
      <t xml:space="preserve">该操作仅支持同币种账号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请您检查后重试</t>
    </r>
  </si>
  <si>
    <t xml:space="preserve">Transfers are only allowed between accounts of the same currency. Please check and try again.</t>
  </si>
  <si>
    <r>
      <rPr>
        <sz val="10"/>
        <rFont val="DejaVu Sans"/>
        <family val="2"/>
      </rPr>
      <t xml:space="preserve">동일 통화 계정 간에만 이체가 가능합니다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확인 후 다시 시도해 주세요</t>
    </r>
    <r>
      <rPr>
        <sz val="10"/>
        <rFont val="Arial"/>
        <family val="0"/>
        <charset val="1"/>
      </rPr>
      <t xml:space="preserve">.</t>
    </r>
  </si>
  <si>
    <t xml:space="preserve">CRD-06</t>
  </si>
  <si>
    <t xml:space="preserve">credit_preview_negative</t>
  </si>
  <si>
    <r>
      <rPr>
        <sz val="10"/>
        <rFont val="DejaVu Sans"/>
        <family val="2"/>
      </rPr>
      <t xml:space="preserve">调整后预览任一侧 </t>
    </r>
    <r>
      <rPr>
        <sz val="10"/>
        <rFont val="Arial"/>
        <family val="0"/>
        <charset val="1"/>
      </rPr>
      <t xml:space="preserve">&lt; 0(</t>
    </r>
    <r>
      <rPr>
        <sz val="10"/>
        <rFont val="DejaVu Sans"/>
        <family val="2"/>
      </rPr>
      <t xml:space="preserve">前端实时感知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</si>
  <si>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当前金额会使上级或下级余额为负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请您调整金额</t>
    </r>
  </si>
  <si>
    <t xml:space="preserve">The amount would drive the parent or sub-account balance below zero. Please adjust it.</t>
  </si>
  <si>
    <r>
      <rPr>
        <sz val="10"/>
        <rFont val="DejaVu Sans"/>
        <family val="2"/>
      </rPr>
      <t xml:space="preserve">해당 금액은 상위 또는 하위 잔액을 </t>
    </r>
    <r>
      <rPr>
        <sz val="10"/>
        <rFont val="Arial"/>
        <family val="0"/>
        <charset val="1"/>
      </rPr>
      <t xml:space="preserve">0 </t>
    </r>
    <r>
      <rPr>
        <sz val="10"/>
        <rFont val="DejaVu Sans"/>
        <family val="2"/>
      </rPr>
      <t xml:space="preserve">미만으로 만듭니다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금액을 조정해 주세요</t>
    </r>
    <r>
      <rPr>
        <sz val="10"/>
        <rFont val="Arial"/>
        <family val="0"/>
        <charset val="1"/>
      </rPr>
      <t xml:space="preserve">.</t>
    </r>
  </si>
  <si>
    <t xml:space="preserve">调整后预览行整行变红</t>
  </si>
  <si>
    <r>
      <rPr>
        <sz val="10"/>
        <rFont val="DejaVu Sans"/>
        <family val="2"/>
      </rPr>
      <t xml:space="preserve">提示但不阻塞输入</t>
    </r>
    <r>
      <rPr>
        <sz val="10"/>
        <rFont val="Arial"/>
        <family val="0"/>
        <charset val="1"/>
      </rPr>
      <t xml:space="preserve">;submit </t>
    </r>
    <r>
      <rPr>
        <sz val="10"/>
        <rFont val="DejaVu Sans"/>
        <family val="2"/>
      </rPr>
      <t xml:space="preserve">阶段仍做兜底校验</t>
    </r>
  </si>
  <si>
    <t xml:space="preserve">CRD-07</t>
  </si>
  <si>
    <t xml:space="preserve">credit_success</t>
  </si>
  <si>
    <r>
      <rPr>
        <sz val="10"/>
        <rFont val="DejaVu Sans"/>
        <family val="2"/>
      </rPr>
      <t xml:space="preserve">上分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下分成功</t>
    </r>
  </si>
  <si>
    <r>
      <rPr>
        <sz val="10"/>
        <rFont val="DejaVu Sans"/>
        <family val="2"/>
      </rPr>
      <t xml:space="preserve">已为您完成</t>
    </r>
    <r>
      <rPr>
        <sz val="10"/>
        <rFont val="Arial"/>
        <family val="0"/>
        <charset val="1"/>
      </rPr>
      <t xml:space="preserve">{direction};</t>
    </r>
    <r>
      <rPr>
        <sz val="10"/>
        <rFont val="DejaVu Sans"/>
        <family val="2"/>
      </rPr>
      <t xml:space="preserve">最新余额已刷新</t>
    </r>
  </si>
  <si>
    <t xml:space="preserve">{direction} completed. Balances have been refreshed.</t>
  </si>
  <si>
    <r>
      <rPr>
        <sz val="10"/>
        <rFont val="Arial"/>
        <family val="0"/>
        <charset val="1"/>
      </rPr>
      <t xml:space="preserve">{direction} </t>
    </r>
    <r>
      <rPr>
        <sz val="10"/>
        <rFont val="DejaVu Sans"/>
        <family val="2"/>
      </rPr>
      <t xml:space="preserve">처리가 완료되었습니다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잔액이 업데이트되었습니다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</si>
  <si>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弹窗关闭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对应行余额刷新</t>
    </r>
  </si>
  <si>
    <t xml:space="preserve">启用禁用</t>
  </si>
  <si>
    <t xml:space="preserve">TOG-01</t>
  </si>
  <si>
    <t xml:space="preserve">toggle_on_success</t>
  </si>
  <si>
    <t xml:space="preserve">启用账号成功</t>
  </si>
  <si>
    <t xml:space="preserve">账号已为您启用</t>
  </si>
  <si>
    <t xml:space="preserve">The account has been enabled.</t>
  </si>
  <si>
    <r>
      <rPr>
        <sz val="10"/>
        <rFont val="DejaVu Sans"/>
        <family val="2"/>
      </rPr>
      <t xml:space="preserve">계정이 활성화되었습니다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</si>
  <si>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顶部 </t>
    </r>
    <r>
      <rPr>
        <sz val="10"/>
        <rFont val="Arial"/>
        <family val="0"/>
        <charset val="1"/>
      </rPr>
      <t xml:space="preserve">Toast</t>
    </r>
  </si>
  <si>
    <r>
      <rPr>
        <sz val="10"/>
        <rFont val="DejaVu Sans"/>
        <family val="2"/>
      </rPr>
      <t xml:space="preserve">列表状态 </t>
    </r>
    <r>
      <rPr>
        <sz val="10"/>
        <rFont val="Arial"/>
        <family val="0"/>
        <charset val="1"/>
      </rPr>
      <t xml:space="preserve">tag </t>
    </r>
    <r>
      <rPr>
        <sz val="10"/>
        <rFont val="DejaVu Sans"/>
        <family val="2"/>
      </rPr>
      <t xml:space="preserve">切换至启用</t>
    </r>
  </si>
  <si>
    <t xml:space="preserve">TOG-02</t>
  </si>
  <si>
    <t xml:space="preserve">toggle_off_success</t>
  </si>
  <si>
    <r>
      <rPr>
        <sz val="10"/>
        <rFont val="DejaVu Sans"/>
        <family val="2"/>
      </rPr>
      <t xml:space="preserve">暂停账号成功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级联所有下线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</si>
  <si>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账号已为您暂停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同时级联停用所有下线</t>
    </r>
  </si>
  <si>
    <t xml:space="preserve">The account and all its sub-accounts have been paused.</t>
  </si>
  <si>
    <r>
      <rPr>
        <sz val="10"/>
        <rFont val="DejaVu Sans"/>
        <family val="2"/>
      </rPr>
      <t xml:space="preserve">계정 및 모든 하위 계정이 일시 중지되었습니다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</si>
  <si>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列表状态 </t>
    </r>
    <r>
      <rPr>
        <sz val="10"/>
        <rFont val="Arial"/>
        <family val="0"/>
        <charset val="1"/>
      </rPr>
      <t xml:space="preserve">tag </t>
    </r>
    <r>
      <rPr>
        <sz val="10"/>
        <rFont val="DejaVu Sans"/>
        <family val="2"/>
      </rPr>
      <t xml:space="preserve">切换至暂停</t>
    </r>
  </si>
  <si>
    <t xml:space="preserve">修改交收方案</t>
  </si>
  <si>
    <t xml:space="preserve">SCM-01</t>
  </si>
  <si>
    <t xml:space="preserve">scheme_ack_missing</t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</si>
  <si>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DejaVu Sans"/>
        <family val="2"/>
      </rPr>
      <t xml:space="preserve">步未勾选「我已阅读并理解以上影响」</t>
    </r>
  </si>
  <si>
    <r>
      <rPr>
        <sz val="10"/>
        <rFont val="DejaVu Sans"/>
        <family val="2"/>
      </rPr>
      <t xml:space="preserve">请您先勾选「我已阅读并理解以上影响」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再继续</t>
    </r>
  </si>
  <si>
    <t xml:space="preserve">Please confirm "I've read and understood the impact" before proceeding.</t>
  </si>
  <si>
    <r>
      <rPr>
        <sz val="10"/>
        <rFont val="DejaVu Sans"/>
        <family val="2"/>
      </rPr>
      <t xml:space="preserve">먼저 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영향을 이해했습니다</t>
    </r>
    <r>
      <rPr>
        <sz val="10"/>
        <rFont val="Arial"/>
        <family val="0"/>
        <charset val="1"/>
      </rPr>
      <t xml:space="preserve">"</t>
    </r>
    <r>
      <rPr>
        <sz val="10"/>
        <rFont val="DejaVu Sans"/>
        <family val="2"/>
      </rPr>
      <t xml:space="preserve">에 체크한 후 진행해 주세요</t>
    </r>
    <r>
      <rPr>
        <sz val="10"/>
        <rFont val="Arial"/>
        <family val="0"/>
        <charset val="1"/>
      </rPr>
      <t xml:space="preserve">.</t>
    </r>
  </si>
  <si>
    <t xml:space="preserve">下一步按钮灰态</t>
  </si>
  <si>
    <r>
      <rPr>
        <sz val="10"/>
        <rFont val="DejaVu Sans"/>
        <family val="2"/>
      </rPr>
      <t xml:space="preserve">阻止进入第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步</t>
    </r>
  </si>
  <si>
    <t xml:space="preserve">SCM-02</t>
  </si>
  <si>
    <t xml:space="preserve">scheme_target_empty</t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</si>
  <si>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步未选择新方案</t>
    </r>
  </si>
  <si>
    <t xml:space="preserve">请您选择一条新方案</t>
  </si>
  <si>
    <t xml:space="preserve">Please select a new scheme.</t>
  </si>
  <si>
    <r>
      <rPr>
        <sz val="10"/>
        <rFont val="DejaVu Sans"/>
        <family val="2"/>
      </rPr>
      <t xml:space="preserve">새로운 방안을 선택해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</si>
  <si>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DejaVu Sans"/>
        <family val="2"/>
      </rPr>
      <t xml:space="preserve">步顶部红字</t>
    </r>
  </si>
  <si>
    <r>
      <rPr>
        <sz val="10"/>
        <rFont val="DejaVu Sans"/>
        <family val="2"/>
      </rPr>
      <t xml:space="preserve">阻止进入第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步</t>
    </r>
  </si>
  <si>
    <t xml:space="preserve">SCM-03</t>
  </si>
  <si>
    <t xml:space="preserve">scheme_balance_block</t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</si>
  <si>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步硬校验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子树存在非零余额</t>
    </r>
  </si>
  <si>
    <r>
      <rPr>
        <sz val="10"/>
        <rFont val="DejaVu Sans"/>
        <family val="2"/>
      </rPr>
      <t xml:space="preserve">该下线及其下属仍有余额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需全部清零后再切换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请您先完成余额归零</t>
    </r>
  </si>
  <si>
    <t xml:space="preserve">Some accounts under this sub still have non-zero balances. Please clear them all before switching schemes.</t>
  </si>
  <si>
    <r>
      <rPr>
        <sz val="10"/>
        <rFont val="DejaVu Sans"/>
        <family val="2"/>
      </rPr>
      <t xml:space="preserve">해당 하위 및 그 하위 계정에 잔액이 남아 있습니다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모두 </t>
    </r>
    <r>
      <rPr>
        <sz val="10"/>
        <rFont val="Arial"/>
        <family val="0"/>
        <charset val="1"/>
      </rPr>
      <t xml:space="preserve">0</t>
    </r>
    <r>
      <rPr>
        <sz val="10"/>
        <rFont val="DejaVu Sans"/>
        <family val="2"/>
      </rPr>
      <t xml:space="preserve">으로 만든 후 전환해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</si>
  <si>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步顶部红字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确认按钮灰态</t>
    </r>
  </si>
  <si>
    <r>
      <rPr>
        <sz val="10"/>
        <rFont val="DejaVu Sans"/>
        <family val="2"/>
      </rPr>
      <t xml:space="preserve">不进入切换流程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引导清零</t>
    </r>
  </si>
  <si>
    <t xml:space="preserve">SCM-04</t>
  </si>
  <si>
    <t xml:space="preserve">scheme_rate_empty</t>
  </si>
  <si>
    <r>
      <rPr>
        <sz val="10"/>
        <rFont val="DejaVu Sans"/>
        <family val="2"/>
      </rPr>
      <t xml:space="preserve">新方案显示佣金率未填或 ≤ </t>
    </r>
    <r>
      <rPr>
        <sz val="10"/>
        <rFont val="Arial"/>
        <family val="0"/>
        <charset val="1"/>
      </rPr>
      <t xml:space="preserve">0</t>
    </r>
  </si>
  <si>
    <t xml:space="preserve">请您输入新方案显示佣金率</t>
  </si>
  <si>
    <t xml:space="preserve">Please enter the new scheme's commission rate.</t>
  </si>
  <si>
    <r>
      <rPr>
        <sz val="10"/>
        <rFont val="DejaVu Sans"/>
        <family val="2"/>
      </rPr>
      <t xml:space="preserve">새로운 방안의 수수료율을 입력해 주세요</t>
    </r>
    <r>
      <rPr>
        <sz val="10"/>
        <rFont val="Arial"/>
        <family val="0"/>
        <charset val="1"/>
      </rPr>
      <t xml:space="preserve">.</t>
    </r>
  </si>
  <si>
    <t xml:space="preserve">SCM-05</t>
  </si>
  <si>
    <t xml:space="preserve">scheme_rate_over</t>
  </si>
  <si>
    <t xml:space="preserve">新佣金率大于新方案上限</t>
  </si>
  <si>
    <r>
      <rPr>
        <sz val="10"/>
        <rFont val="DejaVu Sans"/>
        <family val="2"/>
      </rPr>
      <t xml:space="preserve">佣金率不能高于新方案上限 </t>
    </r>
    <r>
      <rPr>
        <sz val="10"/>
        <rFont val="Arial"/>
        <family val="0"/>
        <charset val="1"/>
      </rPr>
      <t xml:space="preserve">{x}%,</t>
    </r>
    <r>
      <rPr>
        <sz val="10"/>
        <rFont val="DejaVu Sans"/>
        <family val="2"/>
      </rPr>
      <t xml:space="preserve">请您调整后重试</t>
    </r>
  </si>
  <si>
    <t xml:space="preserve">The commission rate can't exceed the new scheme's limit of {x}%. Please adjust and retry.</t>
  </si>
  <si>
    <r>
      <rPr>
        <sz val="10"/>
        <rFont val="DejaVu Sans"/>
        <family val="2"/>
      </rPr>
      <t xml:space="preserve">수수료율은 새 방안의 한도 </t>
    </r>
    <r>
      <rPr>
        <sz val="10"/>
        <rFont val="Arial"/>
        <family val="0"/>
        <charset val="1"/>
      </rPr>
      <t xml:space="preserve">{x}%</t>
    </r>
    <r>
      <rPr>
        <sz val="10"/>
        <rFont val="DejaVu Sans"/>
        <family val="2"/>
      </rPr>
      <t xml:space="preserve">를 초과할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조정 후 다시 시도해 주세요</t>
    </r>
    <r>
      <rPr>
        <sz val="10"/>
        <rFont val="Arial"/>
        <family val="0"/>
        <charset val="1"/>
      </rPr>
      <t xml:space="preserve">.</t>
    </r>
  </si>
  <si>
    <t xml:space="preserve">确认按钮灰态</t>
  </si>
  <si>
    <t xml:space="preserve">SCM-06</t>
  </si>
  <si>
    <t xml:space="preserve">scheme_confirm_missing</t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</si>
  <si>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步未勾选最终确认项</t>
    </r>
  </si>
  <si>
    <t xml:space="preserve">请您勾选最终确认项后再执行切换</t>
  </si>
  <si>
    <t xml:space="preserve">Please check the final confirmation box before switching.</t>
  </si>
  <si>
    <r>
      <rPr>
        <sz val="10"/>
        <rFont val="DejaVu Sans"/>
        <family val="2"/>
      </rPr>
      <t xml:space="preserve">전환 전에 최종 확인 항목에 체크해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</si>
  <si>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步顶部红字</t>
    </r>
  </si>
  <si>
    <t xml:space="preserve">确认切换按钮灰态</t>
  </si>
  <si>
    <t xml:space="preserve">SCM-07</t>
  </si>
  <si>
    <t xml:space="preserve">scheme_success</t>
  </si>
  <si>
    <t xml:space="preserve">切换交收方案成功</t>
  </si>
  <si>
    <r>
      <rPr>
        <sz val="10"/>
        <rFont val="DejaVu Sans"/>
        <family val="2"/>
      </rPr>
      <t xml:space="preserve">已为您切换至 </t>
    </r>
    <r>
      <rPr>
        <sz val="10"/>
        <rFont val="Arial"/>
        <family val="0"/>
        <charset val="1"/>
      </rPr>
      <t xml:space="preserve">{currency};</t>
    </r>
    <r>
      <rPr>
        <sz val="10"/>
        <rFont val="DejaVu Sans"/>
        <family val="2"/>
      </rPr>
      <t xml:space="preserve">本次影响账号 </t>
    </r>
    <r>
      <rPr>
        <sz val="10"/>
        <rFont val="Arial"/>
        <family val="0"/>
        <charset val="1"/>
      </rPr>
      <t xml:space="preserve">{n} </t>
    </r>
    <r>
      <rPr>
        <sz val="10"/>
        <rFont val="DejaVu Sans"/>
        <family val="2"/>
      </rPr>
      <t xml:space="preserve">个</t>
    </r>
  </si>
  <si>
    <t xml:space="preserve">Switched to {currency}; {n} accounts updated.</t>
  </si>
  <si>
    <r>
      <rPr>
        <sz val="10"/>
        <rFont val="Arial"/>
        <family val="0"/>
        <charset val="1"/>
      </rPr>
      <t xml:space="preserve">{currency}</t>
    </r>
    <r>
      <rPr>
        <sz val="10"/>
        <rFont val="DejaVu Sans"/>
        <family val="2"/>
      </rPr>
      <t xml:space="preserve">로 전환되었습니다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영향받은 계정 </t>
    </r>
    <r>
      <rPr>
        <sz val="10"/>
        <rFont val="Arial"/>
        <family val="0"/>
        <charset val="1"/>
      </rPr>
      <t xml:space="preserve">{n}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.</t>
    </r>
  </si>
  <si>
    <t xml:space="preserve">修改密码</t>
  </si>
  <si>
    <t xml:space="preserve">PWD-01</t>
  </si>
  <si>
    <t xml:space="preserve">pwd_old_empty</t>
  </si>
  <si>
    <t xml:space="preserve">旧密码为空</t>
  </si>
  <si>
    <t xml:space="preserve">请您输入旧密码</t>
  </si>
  <si>
    <t xml:space="preserve">Please enter your current password.</t>
  </si>
  <si>
    <r>
      <rPr>
        <sz val="10"/>
        <rFont val="DejaVu Sans"/>
        <family val="2"/>
      </rPr>
      <t xml:space="preserve">현재 비밀번호를 입력해 주세요</t>
    </r>
    <r>
      <rPr>
        <sz val="10"/>
        <rFont val="Arial"/>
        <family val="0"/>
        <charset val="1"/>
      </rPr>
      <t xml:space="preserve">.</t>
    </r>
  </si>
  <si>
    <t xml:space="preserve">旧密码字段下红字</t>
  </si>
  <si>
    <t xml:space="preserve">聚焦到旧密码字段</t>
  </si>
  <si>
    <t xml:space="preserve">PWD-02</t>
  </si>
  <si>
    <t xml:space="preserve">pwd_new_format</t>
  </si>
  <si>
    <r>
      <rPr>
        <sz val="10"/>
        <rFont val="DejaVu Sans"/>
        <family val="2"/>
      </rPr>
      <t xml:space="preserve">新密码不符合「</t>
    </r>
    <r>
      <rPr>
        <sz val="10"/>
        <rFont val="Arial"/>
        <family val="0"/>
        <charset val="1"/>
      </rPr>
      <t xml:space="preserve">6~20 </t>
    </r>
    <r>
      <rPr>
        <sz val="10"/>
        <rFont val="DejaVu Sans"/>
        <family val="2"/>
      </rPr>
      <t xml:space="preserve">位不含空格」规则</t>
    </r>
  </si>
  <si>
    <r>
      <rPr>
        <sz val="10"/>
        <rFont val="DejaVu Sans"/>
        <family val="2"/>
      </rPr>
      <t xml:space="preserve">新密码需 </t>
    </r>
    <r>
      <rPr>
        <sz val="10"/>
        <rFont val="Arial"/>
        <family val="0"/>
        <charset val="1"/>
      </rPr>
      <t xml:space="preserve">6~20 </t>
    </r>
    <r>
      <rPr>
        <sz val="10"/>
        <rFont val="DejaVu Sans"/>
        <family val="2"/>
      </rPr>
      <t xml:space="preserve">位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不支持空格</t>
    </r>
  </si>
  <si>
    <t xml:space="preserve">New password must be 6–20 characters with no spaces.</t>
  </si>
  <si>
    <r>
      <rPr>
        <sz val="10"/>
        <rFont val="DejaVu Sans"/>
        <family val="2"/>
      </rPr>
      <t xml:space="preserve">새 비밀번호는 공백 없이 </t>
    </r>
    <r>
      <rPr>
        <sz val="10"/>
        <rFont val="Arial"/>
        <family val="0"/>
        <charset val="1"/>
      </rPr>
      <t xml:space="preserve">6~20</t>
    </r>
    <r>
      <rPr>
        <sz val="10"/>
        <rFont val="DejaVu Sans"/>
        <family val="2"/>
      </rPr>
      <t xml:space="preserve">자여야 합니다</t>
    </r>
    <r>
      <rPr>
        <sz val="10"/>
        <rFont val="Arial"/>
        <family val="0"/>
        <charset val="1"/>
      </rPr>
      <t xml:space="preserve">.</t>
    </r>
  </si>
  <si>
    <t xml:space="preserve">新密码字段下红字</t>
  </si>
  <si>
    <t xml:space="preserve">保留输入让用户修正</t>
  </si>
  <si>
    <t xml:space="preserve">PWD-03</t>
  </si>
  <si>
    <t xml:space="preserve">pwd_same_as_old</t>
  </si>
  <si>
    <t xml:space="preserve">新密码与旧密码相同</t>
  </si>
  <si>
    <r>
      <rPr>
        <sz val="10"/>
        <rFont val="DejaVu Sans"/>
        <family val="2"/>
      </rPr>
      <t xml:space="preserve">新密码不能与旧密码相同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请您重新设置</t>
    </r>
  </si>
  <si>
    <t xml:space="preserve">New password can't be the same as the current one. Please choose a different one.</t>
  </si>
  <si>
    <r>
      <rPr>
        <sz val="10"/>
        <rFont val="DejaVu Sans"/>
        <family val="2"/>
      </rPr>
      <t xml:space="preserve">새 비밀번호는 현재 비밀번호와 동일할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다른 비밀번호를 설정해 주세요</t>
    </r>
    <r>
      <rPr>
        <sz val="10"/>
        <rFont val="Arial"/>
        <family val="0"/>
        <charset val="1"/>
      </rPr>
      <t xml:space="preserve">.</t>
    </r>
  </si>
  <si>
    <t xml:space="preserve">聚焦到新密码字段</t>
  </si>
  <si>
    <t xml:space="preserve">PWD-04</t>
  </si>
  <si>
    <t xml:space="preserve">pwd_confirm_mismatch</t>
  </si>
  <si>
    <t xml:space="preserve">两次新密码不一致</t>
  </si>
  <si>
    <r>
      <rPr>
        <sz val="10"/>
        <rFont val="DejaVu Sans"/>
        <family val="2"/>
      </rPr>
      <t xml:space="preserve">两次新密码不一致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请您重新输入</t>
    </r>
  </si>
  <si>
    <t xml:space="preserve">The new passwords don't match. Please re-enter them.</t>
  </si>
  <si>
    <r>
      <rPr>
        <sz val="10"/>
        <rFont val="DejaVu Sans"/>
        <family val="2"/>
      </rPr>
      <t xml:space="preserve">새 비밀번호가 일치하지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입력해 주세요</t>
    </r>
    <r>
      <rPr>
        <sz val="10"/>
        <rFont val="Arial"/>
        <family val="0"/>
        <charset val="1"/>
      </rPr>
      <t xml:space="preserve">.</t>
    </r>
  </si>
  <si>
    <t xml:space="preserve">确认新密码字段下红字</t>
  </si>
  <si>
    <t xml:space="preserve">PWD-05</t>
  </si>
  <si>
    <t xml:space="preserve">pwd_old_wrong</t>
  </si>
  <si>
    <r>
      <rPr>
        <sz val="10"/>
        <rFont val="DejaVu Sans"/>
        <family val="2"/>
      </rPr>
      <t xml:space="preserve">旧密码不正确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后端业务错误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</si>
  <si>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旧密码不正确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请您重新输入</t>
    </r>
  </si>
  <si>
    <t xml:space="preserve">The current password is incorrect. Please try again.</t>
  </si>
  <si>
    <r>
      <rPr>
        <sz val="10"/>
        <rFont val="DejaVu Sans"/>
        <family val="2"/>
      </rPr>
      <t xml:space="preserve">현재 비밀번호가 올바르지 않습니다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입력해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</si>
  <si>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顶部 </t>
    </r>
    <r>
      <rPr>
        <sz val="10"/>
        <rFont val="Arial"/>
        <family val="0"/>
        <charset val="1"/>
      </rPr>
      <t xml:space="preserve">Toast + </t>
    </r>
    <r>
      <rPr>
        <sz val="10"/>
        <rFont val="DejaVu Sans"/>
        <family val="2"/>
      </rPr>
      <t xml:space="preserve">旧密码下红字</t>
    </r>
  </si>
  <si>
    <r>
      <rPr>
        <sz val="10"/>
        <rFont val="DejaVu Sans"/>
        <family val="2"/>
      </rPr>
      <t xml:space="preserve">弹窗保持打开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允许重试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不登出</t>
    </r>
  </si>
  <si>
    <t xml:space="preserve">PWD-06</t>
  </si>
  <si>
    <t xml:space="preserve">pwd_forced_exit</t>
  </si>
  <si>
    <r>
      <rPr>
        <sz val="10"/>
        <rFont val="DejaVu Sans"/>
        <family val="2"/>
      </rPr>
      <t xml:space="preserve">首次登录强制弹窗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用户点击 </t>
    </r>
    <r>
      <rPr>
        <sz val="10"/>
        <rFont val="Arial"/>
        <family val="0"/>
        <charset val="1"/>
      </rPr>
      <t xml:space="preserve">× </t>
    </r>
    <r>
      <rPr>
        <sz val="10"/>
        <rFont val="DejaVu Sans"/>
        <family val="2"/>
      </rPr>
      <t xml:space="preserve">或 取消</t>
    </r>
  </si>
  <si>
    <r>
      <rPr>
        <sz val="10"/>
        <rFont val="DejaVu Sans"/>
        <family val="2"/>
      </rPr>
      <t xml:space="preserve">未修改密码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已为您退出登录</t>
    </r>
  </si>
  <si>
    <t xml:space="preserve">You've been signed out because the password wasn't changed.</t>
  </si>
  <si>
    <r>
      <rPr>
        <sz val="10"/>
        <rFont val="DejaVu Sans"/>
        <family val="2"/>
      </rPr>
      <t xml:space="preserve">비밀번호를 변경하지 않아 로그아웃되었습니다</t>
    </r>
    <r>
      <rPr>
        <sz val="10"/>
        <rFont val="Arial"/>
        <family val="0"/>
        <charset val="1"/>
      </rPr>
      <t xml:space="preserve">.</t>
    </r>
  </si>
  <si>
    <t xml:space="preserve">清除会话 → 跳登录页</t>
  </si>
  <si>
    <t xml:space="preserve">PWD-07</t>
  </si>
  <si>
    <t xml:space="preserve">pwd_success</t>
  </si>
  <si>
    <r>
      <rPr>
        <sz val="10"/>
        <rFont val="DejaVu Sans"/>
        <family val="2"/>
      </rPr>
      <t xml:space="preserve">修改密码成功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首登 或 页内主动 两种场景共用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</si>
  <si>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密码已为您更新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请您重新登录</t>
    </r>
  </si>
  <si>
    <t xml:space="preserve">Your password has been updated. Please sign in again.</t>
  </si>
  <si>
    <r>
      <rPr>
        <sz val="10"/>
        <rFont val="DejaVu Sans"/>
        <family val="2"/>
      </rPr>
      <t xml:space="preserve">비밀번호가 업데이트되었습니다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로그인해 주세요</t>
    </r>
    <r>
      <rPr>
        <sz val="10"/>
        <rFont val="Arial"/>
        <family val="0"/>
        <charset val="1"/>
      </rPr>
      <t xml:space="preserve">.</t>
    </r>
  </si>
  <si>
    <t xml:space="preserve">退出</t>
  </si>
  <si>
    <t xml:space="preserve">LGT-01</t>
  </si>
  <si>
    <t xml:space="preserve">logout_success</t>
  </si>
  <si>
    <t xml:space="preserve">用户确认退出代理后台</t>
  </si>
  <si>
    <r>
      <rPr>
        <sz val="10"/>
        <rFont val="DejaVu Sans"/>
        <family val="2"/>
      </rPr>
      <t xml:space="preserve">已为您退出代理后台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期待您再次使用</t>
    </r>
  </si>
  <si>
    <t xml:space="preserve">You've been signed out. See you next time.</t>
  </si>
  <si>
    <r>
      <rPr>
        <sz val="10"/>
        <rFont val="DejaVu Sans"/>
        <family val="2"/>
      </rPr>
      <t xml:space="preserve">로그아웃되었습니다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다음에 또 뵙겠습니다</t>
    </r>
    <r>
      <rPr>
        <sz val="10"/>
        <rFont val="Arial"/>
        <family val="0"/>
        <charset val="1"/>
      </rPr>
      <t xml:space="preserve">.</t>
    </r>
  </si>
  <si>
    <t xml:space="preserve">系统级</t>
  </si>
  <si>
    <t xml:space="preserve">SYS-01</t>
  </si>
  <si>
    <t xml:space="preserve">sys_session_expired</t>
  </si>
  <si>
    <r>
      <rPr>
        <sz val="10"/>
        <rFont val="DejaVu Sans"/>
        <family val="2"/>
      </rPr>
      <t xml:space="preserve">凭据过期 </t>
    </r>
    <r>
      <rPr>
        <sz val="10"/>
        <rFont val="Arial"/>
        <family val="0"/>
        <charset val="1"/>
      </rPr>
      <t xml:space="preserve">/ 401 </t>
    </r>
    <r>
      <rPr>
        <sz val="10"/>
        <rFont val="DejaVu Sans"/>
        <family val="2"/>
      </rPr>
      <t xml:space="preserve">返回</t>
    </r>
  </si>
  <si>
    <r>
      <rPr>
        <sz val="10"/>
        <rFont val="DejaVu Sans"/>
        <family val="2"/>
      </rPr>
      <t xml:space="preserve">登录状态已过期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请您重新登录</t>
    </r>
  </si>
  <si>
    <t xml:space="preserve">Your session has expired. Please sign in again.</t>
  </si>
  <si>
    <r>
      <rPr>
        <sz val="10"/>
        <rFont val="DejaVu Sans"/>
        <family val="2"/>
      </rPr>
      <t xml:space="preserve">로그인이 만료되었습니다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다시 로그인해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</si>
  <si>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回登录页顶部 </t>
    </r>
    <r>
      <rPr>
        <sz val="10"/>
        <rFont val="Arial"/>
        <family val="0"/>
        <charset val="1"/>
      </rPr>
      <t xml:space="preserve">Toast(3 </t>
    </r>
    <r>
      <rPr>
        <sz val="10"/>
        <rFont val="DejaVu Sans"/>
        <family val="2"/>
      </rPr>
      <t xml:space="preserve">秒自隐</t>
    </r>
    <r>
      <rPr>
        <sz val="10"/>
        <rFont val="Arial"/>
        <family val="0"/>
        <charset val="1"/>
      </rPr>
      <t xml:space="preserve">)</t>
    </r>
  </si>
  <si>
    <t xml:space="preserve">清除本地会话</t>
  </si>
  <si>
    <t xml:space="preserve">SYS-02</t>
  </si>
  <si>
    <t xml:space="preserve">sys_network</t>
  </si>
  <si>
    <r>
      <rPr>
        <sz val="10"/>
        <rFont val="DejaVu Sans"/>
        <family val="2"/>
      </rPr>
      <t xml:space="preserve">请求超时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网络抖动</t>
    </r>
  </si>
  <si>
    <r>
      <rPr>
        <sz val="10"/>
        <rFont val="DejaVu Sans"/>
        <family val="2"/>
      </rPr>
      <t xml:space="preserve">页内顶部 </t>
    </r>
    <r>
      <rPr>
        <sz val="10"/>
        <rFont val="Arial"/>
        <family val="0"/>
        <charset val="1"/>
      </rPr>
      <t xml:space="preserve">Toast </t>
    </r>
    <r>
      <rPr>
        <sz val="10"/>
        <rFont val="DejaVu Sans"/>
        <family val="2"/>
      </rPr>
      <t xml:space="preserve">或字段下小字</t>
    </r>
  </si>
  <si>
    <t xml:space="preserve">表单状态保留便于重试</t>
  </si>
  <si>
    <t xml:space="preserve">SYS-03</t>
  </si>
  <si>
    <t xml:space="preserve">sys_server</t>
  </si>
  <si>
    <r>
      <rPr>
        <sz val="10"/>
        <rFont val="DejaVu Sans"/>
        <family val="2"/>
      </rPr>
      <t xml:space="preserve">允许重试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超过 </t>
    </r>
    <r>
      <rPr>
        <sz val="10"/>
        <rFont val="Arial"/>
        <family val="0"/>
        <charset val="1"/>
      </rPr>
      <t xml:space="preserve">3 </t>
    </r>
    <r>
      <rPr>
        <sz val="10"/>
        <rFont val="DejaVu Sans"/>
        <family val="2"/>
      </rPr>
      <t xml:space="preserve">次建议联系技术支持</t>
    </r>
  </si>
  <si>
    <t xml:space="preserve">SYS-04</t>
  </si>
  <si>
    <t xml:space="preserve">sys_forbidden</t>
  </si>
  <si>
    <r>
      <rPr>
        <sz val="10"/>
        <rFont val="DejaVu Sans"/>
        <family val="2"/>
      </rPr>
      <t xml:space="preserve">当前账号无该操作权限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上级代理范围限制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</si>
  <si>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您暂无该操作权限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请您联系上级代理或技术支持</t>
    </r>
  </si>
  <si>
    <t xml:space="preserve">You don't have permission for this action. Please contact your upline agent or technical support.</t>
  </si>
  <si>
    <r>
      <rPr>
        <sz val="10"/>
        <rFont val="DejaVu Sans"/>
        <family val="2"/>
      </rPr>
      <t xml:space="preserve">해당 작업 권한이 없습니다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상위 대리 또는 기술 지원팀으로 문의해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</si>
  <si>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关闭弹窗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若已打开</t>
    </r>
    <r>
      <rPr>
        <sz val="10"/>
        <rFont val="Arial"/>
        <family val="0"/>
        <charset val="1"/>
      </rPr>
      <t xml:space="preserve">);</t>
    </r>
    <r>
      <rPr>
        <sz val="10"/>
        <rFont val="DejaVu Sans"/>
        <family val="2"/>
      </rPr>
      <t xml:space="preserve">入口按钮灰态</t>
    </r>
  </si>
  <si>
    <t xml:space="preserve">编号</t>
  </si>
  <si>
    <t xml:space="preserve">原则</t>
  </si>
  <si>
    <t xml:space="preserve">A</t>
  </si>
  <si>
    <r>
      <rPr>
        <sz val="10"/>
        <rFont val="DejaVu Sans"/>
        <family val="2"/>
      </rPr>
      <t xml:space="preserve">以「您」称呼代理用户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不使用「你」或直呼账号名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与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端保持同一友好基调 —— 代理虽为平台内部使用者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本质仍是客户</t>
    </r>
  </si>
  <si>
    <t xml:space="preserve">B</t>
  </si>
  <si>
    <r>
      <rPr>
        <sz val="10"/>
        <rFont val="DejaVu Sans"/>
        <family val="2"/>
      </rPr>
      <t xml:space="preserve">避开冷词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禁用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失败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错误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异常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拒绝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非法 → 改为柔和表达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暂停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不正确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不太稳定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稍后再试</t>
    </r>
    <r>
      <rPr>
        <sz val="10"/>
        <rFont val="Arial"/>
        <family val="0"/>
        <charset val="1"/>
      </rPr>
      <t xml:space="preserve">);</t>
    </r>
    <r>
      <rPr>
        <sz val="10"/>
        <rFont val="DejaVu Sans"/>
        <family val="2"/>
      </rPr>
      <t xml:space="preserve">「账号被禁用」统一改为「账号已暂停」</t>
    </r>
  </si>
  <si>
    <t xml:space="preserve">C</t>
  </si>
  <si>
    <r>
      <rPr>
        <sz val="10"/>
        <rFont val="DejaVu Sans"/>
        <family val="2"/>
      </rPr>
      <t xml:space="preserve">每条文案至少包含「发生了什么」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「下一步怎么办」两部分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涉及权限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锁定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资金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币种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方案切换的兜底一律指向『技术支持』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对应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端的「专属客服」</t>
    </r>
    <r>
      <rPr>
        <sz val="10"/>
        <rFont val="Arial"/>
        <family val="0"/>
        <charset val="1"/>
      </rPr>
      <t xml:space="preserve">)</t>
    </r>
  </si>
  <si>
    <t xml:space="preserve">D</t>
  </si>
  <si>
    <r>
      <rPr>
        <sz val="10"/>
        <rFont val="DejaVu Sans"/>
        <family val="2"/>
      </rPr>
      <t xml:space="preserve">安全相关场景不暴露具体阈值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登录失败锁定时长、操作密码锁定次数</t>
    </r>
    <r>
      <rPr>
        <sz val="10"/>
        <rFont val="Arial"/>
        <family val="0"/>
        <charset val="1"/>
      </rPr>
      <t xml:space="preserve">),</t>
    </r>
    <r>
      <rPr>
        <sz val="10"/>
        <rFont val="DejaVu Sans"/>
        <family val="2"/>
      </rPr>
      <t xml:space="preserve">避免给暴力破解留参考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操作密码锁定统一用「暂时受限」而非「连续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次错误 </t>
    </r>
    <r>
      <rPr>
        <sz val="10"/>
        <rFont val="Arial"/>
        <family val="0"/>
        <charset val="1"/>
      </rPr>
      <t xml:space="preserve">10 </t>
    </r>
    <r>
      <rPr>
        <sz val="10"/>
        <rFont val="DejaVu Sans"/>
        <family val="2"/>
      </rPr>
      <t xml:space="preserve">分钟」</t>
    </r>
  </si>
  <si>
    <t xml:space="preserve">E</t>
  </si>
  <si>
    <r>
      <rPr>
        <sz val="10"/>
        <rFont val="DejaVu Sans"/>
        <family val="2"/>
      </rPr>
      <t xml:space="preserve">长度控制</t>
    </r>
    <r>
      <rPr>
        <sz val="10"/>
        <rFont val="Arial"/>
        <family val="0"/>
        <charset val="1"/>
      </rPr>
      <t xml:space="preserve">:zh-CN </t>
    </r>
    <r>
      <rPr>
        <sz val="10"/>
        <rFont val="DejaVu Sans"/>
        <family val="2"/>
      </rPr>
      <t xml:space="preserve">单行 ≤ </t>
    </r>
    <r>
      <rPr>
        <sz val="10"/>
        <rFont val="Arial"/>
        <family val="0"/>
        <charset val="1"/>
      </rPr>
      <t xml:space="preserve">28 </t>
    </r>
    <r>
      <rPr>
        <sz val="10"/>
        <rFont val="DejaVu Sans"/>
        <family val="2"/>
      </rPr>
      <t xml:space="preserve">字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比 </t>
    </r>
    <r>
      <rPr>
        <sz val="10"/>
        <rFont val="Arial"/>
        <family val="0"/>
        <charset val="1"/>
      </rPr>
      <t xml:space="preserve">C </t>
    </r>
    <r>
      <rPr>
        <sz val="10"/>
        <rFont val="DejaVu Sans"/>
        <family val="2"/>
      </rPr>
      <t xml:space="preserve">端宽松 </t>
    </r>
    <r>
      <rPr>
        <sz val="10"/>
        <rFont val="Arial"/>
        <family val="0"/>
        <charset val="1"/>
      </rPr>
      <t xml:space="preserve">4 </t>
    </r>
    <r>
      <rPr>
        <sz val="10"/>
        <rFont val="DejaVu Sans"/>
        <family val="2"/>
      </rPr>
      <t xml:space="preserve">字</t>
    </r>
    <r>
      <rPr>
        <sz val="10"/>
        <rFont val="Arial"/>
        <family val="0"/>
        <charset val="1"/>
      </rPr>
      <t xml:space="preserve">,B </t>
    </r>
    <r>
      <rPr>
        <sz val="10"/>
        <rFont val="DejaVu Sans"/>
        <family val="2"/>
      </rPr>
      <t xml:space="preserve">端字段信息密度高、需带佣金率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金额等占位符</t>
    </r>
    <r>
      <rPr>
        <sz val="10"/>
        <rFont val="Arial"/>
        <family val="0"/>
        <charset val="1"/>
      </rPr>
      <t xml:space="preserve">),</t>
    </r>
    <r>
      <rPr>
        <sz val="10"/>
        <rFont val="DejaVu Sans"/>
        <family val="2"/>
      </rPr>
      <t xml:space="preserve">超出由 </t>
    </r>
    <r>
      <rPr>
        <sz val="10"/>
        <rFont val="Arial"/>
        <family val="0"/>
        <charset val="1"/>
      </rPr>
      <t xml:space="preserve">UI </t>
    </r>
    <r>
      <rPr>
        <sz val="10"/>
        <rFont val="DejaVu Sans"/>
        <family val="2"/>
      </rPr>
      <t xml:space="preserve">两行折行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英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韩保持完整句号结尾</t>
    </r>
  </si>
  <si>
    <t xml:space="preserve">F</t>
  </si>
  <si>
    <r>
      <rPr>
        <sz val="10"/>
        <rFont val="DejaVu Sans"/>
        <family val="2"/>
      </rPr>
      <t xml:space="preserve">不使用 </t>
    </r>
    <r>
      <rPr>
        <sz val="10"/>
        <rFont val="Arial"/>
        <family val="0"/>
        <charset val="1"/>
      </rPr>
      <t xml:space="preserve">emoji </t>
    </r>
    <r>
      <rPr>
        <sz val="10"/>
        <rFont val="DejaVu Sans"/>
        <family val="2"/>
      </rPr>
      <t xml:space="preserve">和感叹号过载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「已为您…」句式可带温度用于成功态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「⚠ 高危操作」类警示保留 </t>
    </r>
    <r>
      <rPr>
        <sz val="10"/>
        <rFont val="Arial"/>
        <family val="0"/>
        <charset val="1"/>
      </rPr>
      <t xml:space="preserve">emoji,</t>
    </r>
    <r>
      <rPr>
        <sz val="10"/>
        <rFont val="DejaVu Sans"/>
        <family val="2"/>
      </rPr>
      <t xml:space="preserve">但仅限修改交收方案等高危弹窗的标题区</t>
    </r>
  </si>
  <si>
    <t xml:space="preserve">G</t>
  </si>
  <si>
    <r>
      <rPr>
        <sz val="10"/>
        <rFont val="DejaVu Sans"/>
        <family val="2"/>
      </rPr>
      <t xml:space="preserve">同一场景三语完全对齐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结构、信息密度、引导语一致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不做文化特例改写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金额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佣金率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币种等占位符</t>
    </r>
    <r>
      <rPr>
        <sz val="10"/>
        <rFont val="Arial"/>
        <family val="0"/>
        <charset val="1"/>
      </rPr>
      <t xml:space="preserve">({x} / {y} / {currency} / {n} / {id} / {direction})</t>
    </r>
    <r>
      <rPr>
        <sz val="10"/>
        <rFont val="DejaVu Sans"/>
        <family val="2"/>
      </rPr>
      <t xml:space="preserve">三语位置一致</t>
    </r>
  </si>
  <si>
    <t xml:space="preserve">H</t>
  </si>
  <si>
    <r>
      <rPr>
        <sz val="10"/>
        <rFont val="DejaVu Sans"/>
        <family val="2"/>
      </rPr>
      <t xml:space="preserve">这份表格是 </t>
    </r>
    <r>
      <rPr>
        <sz val="10"/>
        <rFont val="Arial"/>
        <family val="0"/>
        <charset val="1"/>
      </rPr>
      <t xml:space="preserve">B </t>
    </r>
    <r>
      <rPr>
        <sz val="10"/>
        <rFont val="DejaVu Sans"/>
        <family val="2"/>
      </rPr>
      <t xml:space="preserve">端账号管理模块文案的单一信源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原型 </t>
    </r>
    <r>
      <rPr>
        <sz val="10"/>
        <rFont val="Arial"/>
        <family val="0"/>
        <charset val="1"/>
      </rPr>
      <t xml:space="preserve">I18N </t>
    </r>
    <r>
      <rPr>
        <sz val="10"/>
        <rFont val="DejaVu Sans"/>
        <family val="2"/>
      </rPr>
      <t xml:space="preserve">常量、</t>
    </r>
    <r>
      <rPr>
        <sz val="10"/>
        <rFont val="Arial"/>
        <family val="0"/>
        <charset val="1"/>
      </rPr>
      <t xml:space="preserve">PRD </t>
    </r>
    <r>
      <rPr>
        <sz val="10"/>
        <rFont val="DejaVu Sans"/>
        <family val="2"/>
      </rPr>
      <t xml:space="preserve">错误矩阵、正式代码 </t>
    </r>
    <r>
      <rPr>
        <sz val="10"/>
        <rFont val="Arial"/>
        <family val="0"/>
        <charset val="1"/>
      </rPr>
      <t xml:space="preserve">i18n </t>
    </r>
    <r>
      <rPr>
        <sz val="10"/>
        <rFont val="DejaVu Sans"/>
        <family val="2"/>
      </rPr>
      <t xml:space="preserve">文件均以本表为准</t>
    </r>
    <r>
      <rPr>
        <sz val="10"/>
        <rFont val="Arial"/>
        <family val="0"/>
        <charset val="1"/>
      </rPr>
      <t xml:space="preserve">;</t>
    </r>
    <r>
      <rPr>
        <sz val="10"/>
        <rFont val="DejaVu Sans"/>
        <family val="2"/>
      </rPr>
      <t xml:space="preserve">原型不得出现「未过表」的硬编码错误文案</t>
    </r>
  </si>
  <si>
    <t xml:space="preserve">指标</t>
  </si>
  <si>
    <t xml:space="preserve">数值</t>
  </si>
  <si>
    <t xml:space="preserve">场景总数</t>
  </si>
  <si>
    <r>
      <rPr>
        <sz val="10"/>
        <rFont val="DejaVu Sans"/>
        <family val="2"/>
      </rPr>
      <t xml:space="preserve">通用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跨弹窗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场景数</t>
    </r>
  </si>
  <si>
    <t xml:space="preserve">登录场景数</t>
  </si>
  <si>
    <t xml:space="preserve">下线列表场景数</t>
  </si>
  <si>
    <t xml:space="preserve">新增下线场景数</t>
  </si>
  <si>
    <t xml:space="preserve">修改资料场景数</t>
  </si>
  <si>
    <t xml:space="preserve">上下分场景数</t>
  </si>
  <si>
    <t xml:space="preserve">启用禁用场景数</t>
  </si>
  <si>
    <t xml:space="preserve">修改交收方案场景数</t>
  </si>
  <si>
    <t xml:space="preserve">修改密码场景数</t>
  </si>
  <si>
    <t xml:space="preserve">退出场景数</t>
  </si>
  <si>
    <t xml:space="preserve">系统级场景数</t>
  </si>
  <si>
    <t xml:space="preserve">带「技术支持」兜底条目</t>
  </si>
  <si>
    <t xml:space="preserve">以「请您」开头的中文条目</t>
  </si>
  <si>
    <t xml:space="preserve">以「已为您」开头的中文条目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</si>
</sst>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color rgb="FF8B6F0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5F5F7"/>
        <bgColor rgb="FFFFFFFF"/>
      </patternFill>
    </fill>
    <fill>
      <patternFill patternType="solid">
        <fgColor rgb="FFFFF3D6"/>
        <bgColor rgb="FFF5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5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8B6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F00"/>
      <rgbColor rgb="FF800080"/>
      <rgbColor rgb="FF008080"/>
      <rgbColor rgb="FFC0C0C0"/>
      <rgbColor rgb="FF808080"/>
      <rgbColor rgb="FF9999FF"/>
      <rgbColor rgb="FF993366"/>
      <rgbColor rgb="FFFFF3D6"/>
      <rgbColor rgb="FFF5F5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44"/>
    <col collapsed="false" customWidth="true" hidden="false" outlineLevel="0" max="6" min="6" style="1" width="54"/>
    <col collapsed="false" customWidth="true" hidden="false" outlineLevel="0" max="7" min="7" style="1" width="44"/>
    <col collapsed="false" customWidth="true" hidden="false" outlineLevel="0" max="8" min="8" style="1" width="26"/>
    <col collapsed="false" customWidth="true" hidden="false" outlineLevel="0" max="9" min="9" style="1" width="28"/>
    <col collapsed="false" customWidth="true" hidden="false" outlineLevel="0" max="10" min="10" style="1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customFormat="false" ht="42" hidden="false" customHeight="true" outlineLevel="0" collapsed="false">
      <c r="A2" s="4" t="s">
        <v>10</v>
      </c>
      <c r="B2" s="5" t="s">
        <v>11</v>
      </c>
      <c r="C2" s="6" t="s">
        <v>12</v>
      </c>
      <c r="D2" s="7" t="s">
        <v>13</v>
      </c>
      <c r="E2" s="7" t="s">
        <v>14</v>
      </c>
      <c r="F2" s="6" t="s">
        <v>15</v>
      </c>
      <c r="G2" s="7" t="s">
        <v>16</v>
      </c>
      <c r="H2" s="7" t="s">
        <v>17</v>
      </c>
      <c r="I2" s="7" t="s">
        <v>18</v>
      </c>
      <c r="J2" s="6" t="s">
        <v>19</v>
      </c>
    </row>
    <row r="3" customFormat="false" ht="42" hidden="false" customHeight="true" outlineLevel="0" collapsed="false">
      <c r="A3" s="4" t="s">
        <v>10</v>
      </c>
      <c r="B3" s="5" t="s">
        <v>20</v>
      </c>
      <c r="C3" s="6" t="s">
        <v>21</v>
      </c>
      <c r="D3" s="7" t="s">
        <v>22</v>
      </c>
      <c r="E3" s="7" t="s">
        <v>23</v>
      </c>
      <c r="F3" s="6" t="s">
        <v>24</v>
      </c>
      <c r="G3" s="7" t="s">
        <v>25</v>
      </c>
      <c r="H3" s="7" t="s">
        <v>17</v>
      </c>
      <c r="I3" s="7" t="s">
        <v>26</v>
      </c>
      <c r="J3" s="6" t="s">
        <v>19</v>
      </c>
    </row>
    <row r="4" customFormat="false" ht="42" hidden="false" customHeight="true" outlineLevel="0" collapsed="false">
      <c r="A4" s="4" t="s">
        <v>10</v>
      </c>
      <c r="B4" s="5" t="s">
        <v>27</v>
      </c>
      <c r="C4" s="6" t="s">
        <v>28</v>
      </c>
      <c r="D4" s="7" t="s">
        <v>29</v>
      </c>
      <c r="E4" s="7" t="s">
        <v>30</v>
      </c>
      <c r="F4" s="6" t="s">
        <v>31</v>
      </c>
      <c r="G4" s="7" t="s">
        <v>32</v>
      </c>
      <c r="H4" s="7" t="s">
        <v>33</v>
      </c>
      <c r="I4" s="7" t="s">
        <v>34</v>
      </c>
      <c r="J4" s="8" t="s">
        <v>35</v>
      </c>
    </row>
    <row r="5" customFormat="false" ht="42" hidden="false" customHeight="true" outlineLevel="0" collapsed="false">
      <c r="A5" s="9" t="s">
        <v>36</v>
      </c>
      <c r="B5" s="10" t="s">
        <v>37</v>
      </c>
      <c r="C5" s="11" t="s">
        <v>38</v>
      </c>
      <c r="D5" s="12" t="s">
        <v>39</v>
      </c>
      <c r="E5" s="12" t="s">
        <v>40</v>
      </c>
      <c r="F5" s="11" t="s">
        <v>41</v>
      </c>
      <c r="G5" s="12" t="s">
        <v>42</v>
      </c>
      <c r="H5" s="12" t="s">
        <v>43</v>
      </c>
      <c r="I5" s="12" t="s">
        <v>44</v>
      </c>
      <c r="J5" s="11" t="s">
        <v>19</v>
      </c>
    </row>
    <row r="6" customFormat="false" ht="42" hidden="false" customHeight="true" outlineLevel="0" collapsed="false">
      <c r="A6" s="9" t="s">
        <v>36</v>
      </c>
      <c r="B6" s="10" t="s">
        <v>45</v>
      </c>
      <c r="C6" s="11" t="s">
        <v>46</v>
      </c>
      <c r="D6" s="12" t="s">
        <v>47</v>
      </c>
      <c r="E6" s="12" t="s">
        <v>48</v>
      </c>
      <c r="F6" s="11" t="s">
        <v>49</v>
      </c>
      <c r="G6" s="12" t="s">
        <v>50</v>
      </c>
      <c r="H6" s="12" t="s">
        <v>43</v>
      </c>
      <c r="I6" s="12" t="s">
        <v>51</v>
      </c>
      <c r="J6" s="11" t="s">
        <v>19</v>
      </c>
    </row>
    <row r="7" customFormat="false" ht="42" hidden="false" customHeight="true" outlineLevel="0" collapsed="false">
      <c r="A7" s="9" t="s">
        <v>36</v>
      </c>
      <c r="B7" s="10" t="s">
        <v>52</v>
      </c>
      <c r="C7" s="11" t="s">
        <v>53</v>
      </c>
      <c r="D7" s="12" t="s">
        <v>54</v>
      </c>
      <c r="E7" s="12" t="s">
        <v>55</v>
      </c>
      <c r="F7" s="11" t="s">
        <v>56</v>
      </c>
      <c r="G7" s="12" t="s">
        <v>57</v>
      </c>
      <c r="H7" s="12" t="s">
        <v>43</v>
      </c>
      <c r="I7" s="12" t="s">
        <v>58</v>
      </c>
      <c r="J7" s="8" t="s">
        <v>35</v>
      </c>
    </row>
    <row r="8" customFormat="false" ht="42" hidden="false" customHeight="true" outlineLevel="0" collapsed="false">
      <c r="A8" s="9" t="s">
        <v>36</v>
      </c>
      <c r="B8" s="10" t="s">
        <v>59</v>
      </c>
      <c r="C8" s="11" t="s">
        <v>60</v>
      </c>
      <c r="D8" s="12" t="s">
        <v>61</v>
      </c>
      <c r="E8" s="12" t="s">
        <v>62</v>
      </c>
      <c r="F8" s="11" t="s">
        <v>63</v>
      </c>
      <c r="G8" s="12" t="s">
        <v>64</v>
      </c>
      <c r="H8" s="12" t="s">
        <v>43</v>
      </c>
      <c r="I8" s="12" t="s">
        <v>65</v>
      </c>
      <c r="J8" s="11" t="s">
        <v>66</v>
      </c>
    </row>
    <row r="9" customFormat="false" ht="42" hidden="false" customHeight="true" outlineLevel="0" collapsed="false">
      <c r="A9" s="9" t="s">
        <v>36</v>
      </c>
      <c r="B9" s="10" t="s">
        <v>67</v>
      </c>
      <c r="C9" s="11" t="s">
        <v>68</v>
      </c>
      <c r="D9" s="12" t="s">
        <v>69</v>
      </c>
      <c r="E9" s="12" t="s">
        <v>70</v>
      </c>
      <c r="F9" s="11" t="s">
        <v>71</v>
      </c>
      <c r="G9" s="12" t="s">
        <v>72</v>
      </c>
      <c r="H9" s="12" t="s">
        <v>73</v>
      </c>
      <c r="I9" s="12" t="s">
        <v>74</v>
      </c>
      <c r="J9" s="11" t="s">
        <v>19</v>
      </c>
    </row>
    <row r="10" customFormat="false" ht="42" hidden="false" customHeight="true" outlineLevel="0" collapsed="false">
      <c r="A10" s="9" t="s">
        <v>36</v>
      </c>
      <c r="B10" s="10" t="s">
        <v>75</v>
      </c>
      <c r="C10" s="11" t="s">
        <v>76</v>
      </c>
      <c r="D10" s="12" t="s">
        <v>77</v>
      </c>
      <c r="E10" s="12" t="s">
        <v>78</v>
      </c>
      <c r="F10" s="11" t="s">
        <v>79</v>
      </c>
      <c r="G10" s="12" t="s">
        <v>80</v>
      </c>
      <c r="H10" s="12" t="s">
        <v>73</v>
      </c>
      <c r="I10" s="12" t="s">
        <v>81</v>
      </c>
      <c r="J10" s="8" t="s">
        <v>35</v>
      </c>
    </row>
    <row r="11" customFormat="false" ht="42" hidden="false" customHeight="true" outlineLevel="0" collapsed="false">
      <c r="A11" s="4" t="s">
        <v>82</v>
      </c>
      <c r="B11" s="5" t="s">
        <v>83</v>
      </c>
      <c r="C11" s="6" t="s">
        <v>84</v>
      </c>
      <c r="D11" s="7" t="s">
        <v>85</v>
      </c>
      <c r="E11" s="7" t="s">
        <v>86</v>
      </c>
      <c r="F11" s="6" t="s">
        <v>87</v>
      </c>
      <c r="G11" s="7" t="s">
        <v>88</v>
      </c>
      <c r="H11" s="7" t="s">
        <v>89</v>
      </c>
      <c r="I11" s="7" t="s">
        <v>90</v>
      </c>
      <c r="J11" s="6" t="s">
        <v>19</v>
      </c>
    </row>
    <row r="12" customFormat="false" ht="42" hidden="false" customHeight="true" outlineLevel="0" collapsed="false">
      <c r="A12" s="4" t="s">
        <v>82</v>
      </c>
      <c r="B12" s="5" t="s">
        <v>91</v>
      </c>
      <c r="C12" s="6" t="s">
        <v>92</v>
      </c>
      <c r="D12" s="7" t="s">
        <v>93</v>
      </c>
      <c r="E12" s="7" t="s">
        <v>94</v>
      </c>
      <c r="F12" s="6" t="s">
        <v>95</v>
      </c>
      <c r="G12" s="7" t="s">
        <v>96</v>
      </c>
      <c r="H12" s="7" t="s">
        <v>89</v>
      </c>
      <c r="I12" s="7" t="s">
        <v>97</v>
      </c>
      <c r="J12" s="6" t="s">
        <v>19</v>
      </c>
    </row>
    <row r="13" customFormat="false" ht="42" hidden="false" customHeight="true" outlineLevel="0" collapsed="false">
      <c r="A13" s="4" t="s">
        <v>82</v>
      </c>
      <c r="B13" s="5" t="s">
        <v>98</v>
      </c>
      <c r="C13" s="6" t="s">
        <v>99</v>
      </c>
      <c r="D13" s="7" t="s">
        <v>100</v>
      </c>
      <c r="E13" s="7" t="s">
        <v>101</v>
      </c>
      <c r="F13" s="6" t="s">
        <v>102</v>
      </c>
      <c r="G13" s="7" t="s">
        <v>103</v>
      </c>
      <c r="H13" s="7" t="s">
        <v>104</v>
      </c>
      <c r="I13" s="7" t="s">
        <v>105</v>
      </c>
      <c r="J13" s="6" t="s">
        <v>19</v>
      </c>
    </row>
    <row r="14" customFormat="false" ht="42" hidden="false" customHeight="true" outlineLevel="0" collapsed="false">
      <c r="A14" s="9" t="s">
        <v>106</v>
      </c>
      <c r="B14" s="10" t="s">
        <v>107</v>
      </c>
      <c r="C14" s="11" t="s">
        <v>108</v>
      </c>
      <c r="D14" s="12" t="s">
        <v>109</v>
      </c>
      <c r="E14" s="12" t="s">
        <v>110</v>
      </c>
      <c r="F14" s="11" t="s">
        <v>111</v>
      </c>
      <c r="G14" s="12" t="s">
        <v>112</v>
      </c>
      <c r="H14" s="12" t="s">
        <v>113</v>
      </c>
      <c r="I14" s="12" t="s">
        <v>114</v>
      </c>
      <c r="J14" s="11" t="s">
        <v>19</v>
      </c>
    </row>
    <row r="15" customFormat="false" ht="42" hidden="false" customHeight="true" outlineLevel="0" collapsed="false">
      <c r="A15" s="9" t="s">
        <v>106</v>
      </c>
      <c r="B15" s="10" t="s">
        <v>115</v>
      </c>
      <c r="C15" s="11" t="s">
        <v>116</v>
      </c>
      <c r="D15" s="12" t="s">
        <v>117</v>
      </c>
      <c r="E15" s="12" t="s">
        <v>118</v>
      </c>
      <c r="F15" s="11" t="s">
        <v>119</v>
      </c>
      <c r="G15" s="12" t="s">
        <v>120</v>
      </c>
      <c r="H15" s="12" t="s">
        <v>113</v>
      </c>
      <c r="I15" s="12" t="s">
        <v>121</v>
      </c>
      <c r="J15" s="11" t="s">
        <v>19</v>
      </c>
    </row>
    <row r="16" customFormat="false" ht="42" hidden="false" customHeight="true" outlineLevel="0" collapsed="false">
      <c r="A16" s="9" t="s">
        <v>106</v>
      </c>
      <c r="B16" s="10" t="s">
        <v>122</v>
      </c>
      <c r="C16" s="11" t="s">
        <v>123</v>
      </c>
      <c r="D16" s="12" t="s">
        <v>124</v>
      </c>
      <c r="E16" s="12" t="s">
        <v>125</v>
      </c>
      <c r="F16" s="11" t="s">
        <v>126</v>
      </c>
      <c r="G16" s="12" t="s">
        <v>127</v>
      </c>
      <c r="H16" s="12" t="s">
        <v>128</v>
      </c>
      <c r="I16" s="12" t="s">
        <v>129</v>
      </c>
      <c r="J16" s="11" t="s">
        <v>19</v>
      </c>
    </row>
    <row r="17" customFormat="false" ht="42" hidden="false" customHeight="true" outlineLevel="0" collapsed="false">
      <c r="A17" s="9" t="s">
        <v>106</v>
      </c>
      <c r="B17" s="10" t="s">
        <v>130</v>
      </c>
      <c r="C17" s="11" t="s">
        <v>131</v>
      </c>
      <c r="D17" s="12" t="s">
        <v>132</v>
      </c>
      <c r="E17" s="12" t="s">
        <v>133</v>
      </c>
      <c r="F17" s="11" t="s">
        <v>134</v>
      </c>
      <c r="G17" s="12" t="s">
        <v>135</v>
      </c>
      <c r="H17" s="12" t="s">
        <v>136</v>
      </c>
      <c r="I17" s="12" t="s">
        <v>137</v>
      </c>
      <c r="J17" s="11" t="s">
        <v>19</v>
      </c>
    </row>
    <row r="18" customFormat="false" ht="42" hidden="false" customHeight="true" outlineLevel="0" collapsed="false">
      <c r="A18" s="9" t="s">
        <v>106</v>
      </c>
      <c r="B18" s="10" t="s">
        <v>138</v>
      </c>
      <c r="C18" s="11" t="s">
        <v>139</v>
      </c>
      <c r="D18" s="12" t="s">
        <v>140</v>
      </c>
      <c r="E18" s="12" t="s">
        <v>141</v>
      </c>
      <c r="F18" s="11" t="s">
        <v>142</v>
      </c>
      <c r="G18" s="12" t="s">
        <v>143</v>
      </c>
      <c r="H18" s="12" t="s">
        <v>144</v>
      </c>
      <c r="I18" s="12" t="s">
        <v>145</v>
      </c>
      <c r="J18" s="11" t="s">
        <v>19</v>
      </c>
    </row>
    <row r="19" customFormat="false" ht="42" hidden="false" customHeight="true" outlineLevel="0" collapsed="false">
      <c r="A19" s="9" t="s">
        <v>106</v>
      </c>
      <c r="B19" s="10" t="s">
        <v>146</v>
      </c>
      <c r="C19" s="11" t="s">
        <v>147</v>
      </c>
      <c r="D19" s="12" t="s">
        <v>148</v>
      </c>
      <c r="E19" s="12" t="s">
        <v>149</v>
      </c>
      <c r="F19" s="11" t="s">
        <v>150</v>
      </c>
      <c r="G19" s="12" t="s">
        <v>151</v>
      </c>
      <c r="H19" s="12" t="s">
        <v>152</v>
      </c>
      <c r="I19" s="12" t="s">
        <v>153</v>
      </c>
      <c r="J19" s="11" t="s">
        <v>19</v>
      </c>
    </row>
    <row r="20" customFormat="false" ht="42" hidden="false" customHeight="true" outlineLevel="0" collapsed="false">
      <c r="A20" s="9" t="s">
        <v>106</v>
      </c>
      <c r="B20" s="10" t="s">
        <v>154</v>
      </c>
      <c r="C20" s="11" t="s">
        <v>155</v>
      </c>
      <c r="D20" s="12" t="s">
        <v>156</v>
      </c>
      <c r="E20" s="12" t="s">
        <v>157</v>
      </c>
      <c r="F20" s="11" t="s">
        <v>158</v>
      </c>
      <c r="G20" s="12" t="s">
        <v>159</v>
      </c>
      <c r="H20" s="12" t="s">
        <v>160</v>
      </c>
      <c r="I20" s="12" t="s">
        <v>161</v>
      </c>
      <c r="J20" s="11" t="s">
        <v>19</v>
      </c>
    </row>
    <row r="21" customFormat="false" ht="42" hidden="false" customHeight="true" outlineLevel="0" collapsed="false">
      <c r="A21" s="9" t="s">
        <v>106</v>
      </c>
      <c r="B21" s="10" t="s">
        <v>162</v>
      </c>
      <c r="C21" s="11" t="s">
        <v>163</v>
      </c>
      <c r="D21" s="12" t="s">
        <v>164</v>
      </c>
      <c r="E21" s="12" t="s">
        <v>165</v>
      </c>
      <c r="F21" s="11" t="s">
        <v>166</v>
      </c>
      <c r="G21" s="12" t="s">
        <v>167</v>
      </c>
      <c r="H21" s="12" t="s">
        <v>160</v>
      </c>
      <c r="I21" s="12" t="s">
        <v>168</v>
      </c>
      <c r="J21" s="11" t="s">
        <v>19</v>
      </c>
    </row>
    <row r="22" customFormat="false" ht="42" hidden="false" customHeight="true" outlineLevel="0" collapsed="false">
      <c r="A22" s="9" t="s">
        <v>106</v>
      </c>
      <c r="B22" s="10" t="s">
        <v>169</v>
      </c>
      <c r="C22" s="11" t="s">
        <v>170</v>
      </c>
      <c r="D22" s="12" t="s">
        <v>171</v>
      </c>
      <c r="E22" s="12" t="s">
        <v>172</v>
      </c>
      <c r="F22" s="11" t="s">
        <v>173</v>
      </c>
      <c r="G22" s="12" t="s">
        <v>174</v>
      </c>
      <c r="H22" s="12" t="s">
        <v>175</v>
      </c>
      <c r="I22" s="12" t="s">
        <v>176</v>
      </c>
      <c r="J22" s="11" t="s">
        <v>19</v>
      </c>
    </row>
    <row r="23" customFormat="false" ht="42" hidden="false" customHeight="true" outlineLevel="0" collapsed="false">
      <c r="A23" s="4" t="s">
        <v>177</v>
      </c>
      <c r="B23" s="5" t="s">
        <v>178</v>
      </c>
      <c r="C23" s="6" t="s">
        <v>179</v>
      </c>
      <c r="D23" s="7" t="s">
        <v>180</v>
      </c>
      <c r="E23" s="7" t="s">
        <v>125</v>
      </c>
      <c r="F23" s="6" t="s">
        <v>126</v>
      </c>
      <c r="G23" s="7" t="s">
        <v>127</v>
      </c>
      <c r="H23" s="7" t="s">
        <v>128</v>
      </c>
      <c r="I23" s="7" t="s">
        <v>129</v>
      </c>
      <c r="J23" s="6" t="s">
        <v>19</v>
      </c>
    </row>
    <row r="24" customFormat="false" ht="42" hidden="false" customHeight="true" outlineLevel="0" collapsed="false">
      <c r="A24" s="4" t="s">
        <v>177</v>
      </c>
      <c r="B24" s="5" t="s">
        <v>181</v>
      </c>
      <c r="C24" s="6" t="s">
        <v>182</v>
      </c>
      <c r="D24" s="7" t="s">
        <v>183</v>
      </c>
      <c r="E24" s="7" t="s">
        <v>165</v>
      </c>
      <c r="F24" s="6" t="s">
        <v>166</v>
      </c>
      <c r="G24" s="7" t="s">
        <v>167</v>
      </c>
      <c r="H24" s="7" t="s">
        <v>160</v>
      </c>
      <c r="I24" s="7" t="s">
        <v>168</v>
      </c>
      <c r="J24" s="6" t="s">
        <v>19</v>
      </c>
    </row>
    <row r="25" customFormat="false" ht="42" hidden="false" customHeight="true" outlineLevel="0" collapsed="false">
      <c r="A25" s="4" t="s">
        <v>177</v>
      </c>
      <c r="B25" s="5" t="s">
        <v>184</v>
      </c>
      <c r="C25" s="6" t="s">
        <v>185</v>
      </c>
      <c r="D25" s="7" t="s">
        <v>186</v>
      </c>
      <c r="E25" s="7" t="s">
        <v>187</v>
      </c>
      <c r="F25" s="6" t="s">
        <v>188</v>
      </c>
      <c r="G25" s="7" t="s">
        <v>189</v>
      </c>
      <c r="H25" s="7" t="s">
        <v>160</v>
      </c>
      <c r="I25" s="7" t="s">
        <v>168</v>
      </c>
      <c r="J25" s="6" t="s">
        <v>19</v>
      </c>
    </row>
    <row r="26" customFormat="false" ht="42" hidden="false" customHeight="true" outlineLevel="0" collapsed="false">
      <c r="A26" s="4" t="s">
        <v>177</v>
      </c>
      <c r="B26" s="5" t="s">
        <v>190</v>
      </c>
      <c r="C26" s="6" t="s">
        <v>191</v>
      </c>
      <c r="D26" s="7" t="s">
        <v>192</v>
      </c>
      <c r="E26" s="7" t="s">
        <v>193</v>
      </c>
      <c r="F26" s="6" t="s">
        <v>194</v>
      </c>
      <c r="G26" s="7" t="s">
        <v>195</v>
      </c>
      <c r="H26" s="7" t="s">
        <v>175</v>
      </c>
      <c r="I26" s="7" t="s">
        <v>196</v>
      </c>
      <c r="J26" s="6" t="s">
        <v>19</v>
      </c>
    </row>
    <row r="27" customFormat="false" ht="42" hidden="false" customHeight="true" outlineLevel="0" collapsed="false">
      <c r="A27" s="9" t="s">
        <v>197</v>
      </c>
      <c r="B27" s="10" t="s">
        <v>198</v>
      </c>
      <c r="C27" s="11" t="s">
        <v>199</v>
      </c>
      <c r="D27" s="12" t="s">
        <v>200</v>
      </c>
      <c r="E27" s="12" t="s">
        <v>201</v>
      </c>
      <c r="F27" s="11" t="s">
        <v>202</v>
      </c>
      <c r="G27" s="12" t="s">
        <v>203</v>
      </c>
      <c r="H27" s="12" t="s">
        <v>204</v>
      </c>
      <c r="I27" s="12" t="s">
        <v>205</v>
      </c>
      <c r="J27" s="11" t="s">
        <v>19</v>
      </c>
    </row>
    <row r="28" customFormat="false" ht="42" hidden="false" customHeight="true" outlineLevel="0" collapsed="false">
      <c r="A28" s="9" t="s">
        <v>197</v>
      </c>
      <c r="B28" s="10" t="s">
        <v>206</v>
      </c>
      <c r="C28" s="11" t="s">
        <v>207</v>
      </c>
      <c r="D28" s="12" t="s">
        <v>208</v>
      </c>
      <c r="E28" s="12" t="s">
        <v>209</v>
      </c>
      <c r="F28" s="11" t="s">
        <v>210</v>
      </c>
      <c r="G28" s="12" t="s">
        <v>211</v>
      </c>
      <c r="H28" s="12" t="s">
        <v>204</v>
      </c>
      <c r="I28" s="12" t="s">
        <v>212</v>
      </c>
      <c r="J28" s="11" t="s">
        <v>19</v>
      </c>
    </row>
    <row r="29" customFormat="false" ht="42" hidden="false" customHeight="true" outlineLevel="0" collapsed="false">
      <c r="A29" s="9" t="s">
        <v>197</v>
      </c>
      <c r="B29" s="10" t="s">
        <v>213</v>
      </c>
      <c r="C29" s="11" t="s">
        <v>214</v>
      </c>
      <c r="D29" s="12" t="s">
        <v>215</v>
      </c>
      <c r="E29" s="12" t="s">
        <v>216</v>
      </c>
      <c r="F29" s="11" t="s">
        <v>217</v>
      </c>
      <c r="G29" s="12" t="s">
        <v>218</v>
      </c>
      <c r="H29" s="12" t="s">
        <v>219</v>
      </c>
      <c r="I29" s="12" t="s">
        <v>212</v>
      </c>
      <c r="J29" s="11" t="s">
        <v>19</v>
      </c>
    </row>
    <row r="30" customFormat="false" ht="42" hidden="false" customHeight="true" outlineLevel="0" collapsed="false">
      <c r="A30" s="9" t="s">
        <v>197</v>
      </c>
      <c r="B30" s="10" t="s">
        <v>220</v>
      </c>
      <c r="C30" s="11" t="s">
        <v>221</v>
      </c>
      <c r="D30" s="12" t="s">
        <v>222</v>
      </c>
      <c r="E30" s="12" t="s">
        <v>223</v>
      </c>
      <c r="F30" s="11" t="s">
        <v>224</v>
      </c>
      <c r="G30" s="12" t="s">
        <v>225</v>
      </c>
      <c r="H30" s="12" t="s">
        <v>226</v>
      </c>
      <c r="I30" s="12" t="s">
        <v>227</v>
      </c>
      <c r="J30" s="8" t="s">
        <v>35</v>
      </c>
    </row>
    <row r="31" customFormat="false" ht="42" hidden="false" customHeight="true" outlineLevel="0" collapsed="false">
      <c r="A31" s="9" t="s">
        <v>197</v>
      </c>
      <c r="B31" s="10" t="s">
        <v>228</v>
      </c>
      <c r="C31" s="11" t="s">
        <v>229</v>
      </c>
      <c r="D31" s="12" t="s">
        <v>230</v>
      </c>
      <c r="E31" s="12" t="s">
        <v>231</v>
      </c>
      <c r="F31" s="11" t="s">
        <v>232</v>
      </c>
      <c r="G31" s="12" t="s">
        <v>233</v>
      </c>
      <c r="H31" s="12" t="s">
        <v>226</v>
      </c>
      <c r="I31" s="12" t="s">
        <v>227</v>
      </c>
      <c r="J31" s="8" t="s">
        <v>35</v>
      </c>
    </row>
    <row r="32" customFormat="false" ht="42" hidden="false" customHeight="true" outlineLevel="0" collapsed="false">
      <c r="A32" s="9" t="s">
        <v>197</v>
      </c>
      <c r="B32" s="10" t="s">
        <v>234</v>
      </c>
      <c r="C32" s="11" t="s">
        <v>235</v>
      </c>
      <c r="D32" s="12" t="s">
        <v>236</v>
      </c>
      <c r="E32" s="12" t="s">
        <v>237</v>
      </c>
      <c r="F32" s="11" t="s">
        <v>238</v>
      </c>
      <c r="G32" s="12" t="s">
        <v>239</v>
      </c>
      <c r="H32" s="12" t="s">
        <v>240</v>
      </c>
      <c r="I32" s="12" t="s">
        <v>241</v>
      </c>
      <c r="J32" s="11" t="s">
        <v>19</v>
      </c>
    </row>
    <row r="33" customFormat="false" ht="42" hidden="false" customHeight="true" outlineLevel="0" collapsed="false">
      <c r="A33" s="9" t="s">
        <v>197</v>
      </c>
      <c r="B33" s="10" t="s">
        <v>242</v>
      </c>
      <c r="C33" s="11" t="s">
        <v>243</v>
      </c>
      <c r="D33" s="12" t="s">
        <v>244</v>
      </c>
      <c r="E33" s="12" t="s">
        <v>245</v>
      </c>
      <c r="F33" s="11" t="s">
        <v>246</v>
      </c>
      <c r="G33" s="11" t="s">
        <v>247</v>
      </c>
      <c r="H33" s="12" t="s">
        <v>175</v>
      </c>
      <c r="I33" s="12" t="s">
        <v>248</v>
      </c>
      <c r="J33" s="11" t="s">
        <v>19</v>
      </c>
    </row>
    <row r="34" customFormat="false" ht="42" hidden="false" customHeight="true" outlineLevel="0" collapsed="false">
      <c r="A34" s="4" t="s">
        <v>249</v>
      </c>
      <c r="B34" s="5" t="s">
        <v>250</v>
      </c>
      <c r="C34" s="6" t="s">
        <v>251</v>
      </c>
      <c r="D34" s="7" t="s">
        <v>252</v>
      </c>
      <c r="E34" s="7" t="s">
        <v>253</v>
      </c>
      <c r="F34" s="6" t="s">
        <v>254</v>
      </c>
      <c r="G34" s="7" t="s">
        <v>255</v>
      </c>
      <c r="H34" s="7" t="s">
        <v>256</v>
      </c>
      <c r="I34" s="7" t="s">
        <v>257</v>
      </c>
      <c r="J34" s="6" t="s">
        <v>19</v>
      </c>
    </row>
    <row r="35" customFormat="false" ht="42" hidden="false" customHeight="true" outlineLevel="0" collapsed="false">
      <c r="A35" s="4" t="s">
        <v>249</v>
      </c>
      <c r="B35" s="5" t="s">
        <v>258</v>
      </c>
      <c r="C35" s="6" t="s">
        <v>259</v>
      </c>
      <c r="D35" s="7" t="s">
        <v>260</v>
      </c>
      <c r="E35" s="7" t="s">
        <v>261</v>
      </c>
      <c r="F35" s="6" t="s">
        <v>262</v>
      </c>
      <c r="G35" s="7" t="s">
        <v>263</v>
      </c>
      <c r="H35" s="7" t="s">
        <v>256</v>
      </c>
      <c r="I35" s="7" t="s">
        <v>264</v>
      </c>
      <c r="J35" s="6" t="s">
        <v>19</v>
      </c>
    </row>
    <row r="36" customFormat="false" ht="42" hidden="false" customHeight="true" outlineLevel="0" collapsed="false">
      <c r="A36" s="9" t="s">
        <v>265</v>
      </c>
      <c r="B36" s="10" t="s">
        <v>266</v>
      </c>
      <c r="C36" s="11" t="s">
        <v>267</v>
      </c>
      <c r="D36" s="12" t="s">
        <v>268</v>
      </c>
      <c r="E36" s="12" t="s">
        <v>269</v>
      </c>
      <c r="F36" s="11" t="s">
        <v>270</v>
      </c>
      <c r="G36" s="12" t="s">
        <v>271</v>
      </c>
      <c r="H36" s="12" t="s">
        <v>272</v>
      </c>
      <c r="I36" s="12" t="s">
        <v>273</v>
      </c>
      <c r="J36" s="11" t="s">
        <v>19</v>
      </c>
    </row>
    <row r="37" customFormat="false" ht="42" hidden="false" customHeight="true" outlineLevel="0" collapsed="false">
      <c r="A37" s="9" t="s">
        <v>265</v>
      </c>
      <c r="B37" s="10" t="s">
        <v>274</v>
      </c>
      <c r="C37" s="11" t="s">
        <v>275</v>
      </c>
      <c r="D37" s="12" t="s">
        <v>276</v>
      </c>
      <c r="E37" s="12" t="s">
        <v>277</v>
      </c>
      <c r="F37" s="11" t="s">
        <v>278</v>
      </c>
      <c r="G37" s="12" t="s">
        <v>279</v>
      </c>
      <c r="H37" s="12" t="s">
        <v>280</v>
      </c>
      <c r="I37" s="12" t="s">
        <v>281</v>
      </c>
      <c r="J37" s="11" t="s">
        <v>19</v>
      </c>
    </row>
    <row r="38" customFormat="false" ht="42" hidden="false" customHeight="true" outlineLevel="0" collapsed="false">
      <c r="A38" s="9" t="s">
        <v>265</v>
      </c>
      <c r="B38" s="10" t="s">
        <v>282</v>
      </c>
      <c r="C38" s="11" t="s">
        <v>283</v>
      </c>
      <c r="D38" s="12" t="s">
        <v>284</v>
      </c>
      <c r="E38" s="12" t="s">
        <v>285</v>
      </c>
      <c r="F38" s="11" t="s">
        <v>286</v>
      </c>
      <c r="G38" s="12" t="s">
        <v>287</v>
      </c>
      <c r="H38" s="12" t="s">
        <v>288</v>
      </c>
      <c r="I38" s="12" t="s">
        <v>289</v>
      </c>
      <c r="J38" s="8" t="s">
        <v>35</v>
      </c>
    </row>
    <row r="39" customFormat="false" ht="42" hidden="false" customHeight="true" outlineLevel="0" collapsed="false">
      <c r="A39" s="9" t="s">
        <v>265</v>
      </c>
      <c r="B39" s="10" t="s">
        <v>290</v>
      </c>
      <c r="C39" s="11" t="s">
        <v>291</v>
      </c>
      <c r="D39" s="12" t="s">
        <v>292</v>
      </c>
      <c r="E39" s="12" t="s">
        <v>293</v>
      </c>
      <c r="F39" s="11" t="s">
        <v>294</v>
      </c>
      <c r="G39" s="12" t="s">
        <v>295</v>
      </c>
      <c r="H39" s="12" t="s">
        <v>160</v>
      </c>
      <c r="I39" s="12" t="s">
        <v>161</v>
      </c>
      <c r="J39" s="11" t="s">
        <v>19</v>
      </c>
    </row>
    <row r="40" customFormat="false" ht="42" hidden="false" customHeight="true" outlineLevel="0" collapsed="false">
      <c r="A40" s="9" t="s">
        <v>265</v>
      </c>
      <c r="B40" s="10" t="s">
        <v>296</v>
      </c>
      <c r="C40" s="11" t="s">
        <v>297</v>
      </c>
      <c r="D40" s="12" t="s">
        <v>298</v>
      </c>
      <c r="E40" s="12" t="s">
        <v>299</v>
      </c>
      <c r="F40" s="11" t="s">
        <v>300</v>
      </c>
      <c r="G40" s="12" t="s">
        <v>301</v>
      </c>
      <c r="H40" s="12" t="s">
        <v>160</v>
      </c>
      <c r="I40" s="12" t="s">
        <v>302</v>
      </c>
      <c r="J40" s="11" t="s">
        <v>19</v>
      </c>
    </row>
    <row r="41" customFormat="false" ht="42" hidden="false" customHeight="true" outlineLevel="0" collapsed="false">
      <c r="A41" s="9" t="s">
        <v>265</v>
      </c>
      <c r="B41" s="10" t="s">
        <v>303</v>
      </c>
      <c r="C41" s="11" t="s">
        <v>304</v>
      </c>
      <c r="D41" s="12" t="s">
        <v>305</v>
      </c>
      <c r="E41" s="12" t="s">
        <v>306</v>
      </c>
      <c r="F41" s="11" t="s">
        <v>307</v>
      </c>
      <c r="G41" s="12" t="s">
        <v>308</v>
      </c>
      <c r="H41" s="12" t="s">
        <v>309</v>
      </c>
      <c r="I41" s="12" t="s">
        <v>310</v>
      </c>
      <c r="J41" s="11" t="s">
        <v>19</v>
      </c>
    </row>
    <row r="42" customFormat="false" ht="42" hidden="false" customHeight="true" outlineLevel="0" collapsed="false">
      <c r="A42" s="9" t="s">
        <v>265</v>
      </c>
      <c r="B42" s="10" t="s">
        <v>311</v>
      </c>
      <c r="C42" s="11" t="s">
        <v>312</v>
      </c>
      <c r="D42" s="12" t="s">
        <v>313</v>
      </c>
      <c r="E42" s="12" t="s">
        <v>314</v>
      </c>
      <c r="F42" s="11" t="s">
        <v>315</v>
      </c>
      <c r="G42" s="11" t="s">
        <v>316</v>
      </c>
      <c r="H42" s="12" t="s">
        <v>175</v>
      </c>
      <c r="I42" s="12" t="s">
        <v>176</v>
      </c>
      <c r="J42" s="11" t="s">
        <v>19</v>
      </c>
    </row>
    <row r="43" customFormat="false" ht="42" hidden="false" customHeight="true" outlineLevel="0" collapsed="false">
      <c r="A43" s="4" t="s">
        <v>317</v>
      </c>
      <c r="B43" s="5" t="s">
        <v>318</v>
      </c>
      <c r="C43" s="6" t="s">
        <v>319</v>
      </c>
      <c r="D43" s="7" t="s">
        <v>320</v>
      </c>
      <c r="E43" s="7" t="s">
        <v>321</v>
      </c>
      <c r="F43" s="6" t="s">
        <v>322</v>
      </c>
      <c r="G43" s="7" t="s">
        <v>323</v>
      </c>
      <c r="H43" s="7" t="s">
        <v>324</v>
      </c>
      <c r="I43" s="7" t="s">
        <v>325</v>
      </c>
      <c r="J43" s="6" t="s">
        <v>19</v>
      </c>
    </row>
    <row r="44" customFormat="false" ht="42" hidden="false" customHeight="true" outlineLevel="0" collapsed="false">
      <c r="A44" s="4" t="s">
        <v>317</v>
      </c>
      <c r="B44" s="5" t="s">
        <v>326</v>
      </c>
      <c r="C44" s="6" t="s">
        <v>327</v>
      </c>
      <c r="D44" s="7" t="s">
        <v>328</v>
      </c>
      <c r="E44" s="7" t="s">
        <v>329</v>
      </c>
      <c r="F44" s="6" t="s">
        <v>330</v>
      </c>
      <c r="G44" s="7" t="s">
        <v>331</v>
      </c>
      <c r="H44" s="7" t="s">
        <v>332</v>
      </c>
      <c r="I44" s="7" t="s">
        <v>333</v>
      </c>
      <c r="J44" s="6" t="s">
        <v>19</v>
      </c>
    </row>
    <row r="45" customFormat="false" ht="42" hidden="false" customHeight="true" outlineLevel="0" collapsed="false">
      <c r="A45" s="4" t="s">
        <v>317</v>
      </c>
      <c r="B45" s="5" t="s">
        <v>334</v>
      </c>
      <c r="C45" s="6" t="s">
        <v>335</v>
      </c>
      <c r="D45" s="7" t="s">
        <v>336</v>
      </c>
      <c r="E45" s="7" t="s">
        <v>337</v>
      </c>
      <c r="F45" s="6" t="s">
        <v>338</v>
      </c>
      <c r="G45" s="7" t="s">
        <v>339</v>
      </c>
      <c r="H45" s="7" t="s">
        <v>332</v>
      </c>
      <c r="I45" s="7" t="s">
        <v>340</v>
      </c>
      <c r="J45" s="6" t="s">
        <v>19</v>
      </c>
    </row>
    <row r="46" customFormat="false" ht="42" hidden="false" customHeight="true" outlineLevel="0" collapsed="false">
      <c r="A46" s="4" t="s">
        <v>317</v>
      </c>
      <c r="B46" s="5" t="s">
        <v>341</v>
      </c>
      <c r="C46" s="6" t="s">
        <v>342</v>
      </c>
      <c r="D46" s="7" t="s">
        <v>343</v>
      </c>
      <c r="E46" s="7" t="s">
        <v>344</v>
      </c>
      <c r="F46" s="6" t="s">
        <v>345</v>
      </c>
      <c r="G46" s="7" t="s">
        <v>346</v>
      </c>
      <c r="H46" s="7" t="s">
        <v>347</v>
      </c>
      <c r="I46" s="7" t="s">
        <v>145</v>
      </c>
      <c r="J46" s="6" t="s">
        <v>19</v>
      </c>
    </row>
    <row r="47" customFormat="false" ht="42" hidden="false" customHeight="true" outlineLevel="0" collapsed="false">
      <c r="A47" s="4" t="s">
        <v>317</v>
      </c>
      <c r="B47" s="5" t="s">
        <v>348</v>
      </c>
      <c r="C47" s="6" t="s">
        <v>349</v>
      </c>
      <c r="D47" s="7" t="s">
        <v>350</v>
      </c>
      <c r="E47" s="7" t="s">
        <v>351</v>
      </c>
      <c r="F47" s="6" t="s">
        <v>352</v>
      </c>
      <c r="G47" s="7" t="s">
        <v>353</v>
      </c>
      <c r="H47" s="7" t="s">
        <v>354</v>
      </c>
      <c r="I47" s="7" t="s">
        <v>355</v>
      </c>
      <c r="J47" s="6" t="s">
        <v>19</v>
      </c>
    </row>
    <row r="48" customFormat="false" ht="42" hidden="false" customHeight="true" outlineLevel="0" collapsed="false">
      <c r="A48" s="4" t="s">
        <v>317</v>
      </c>
      <c r="B48" s="5" t="s">
        <v>356</v>
      </c>
      <c r="C48" s="6" t="s">
        <v>357</v>
      </c>
      <c r="D48" s="7" t="s">
        <v>358</v>
      </c>
      <c r="E48" s="7" t="s">
        <v>359</v>
      </c>
      <c r="F48" s="6" t="s">
        <v>360</v>
      </c>
      <c r="G48" s="7" t="s">
        <v>361</v>
      </c>
      <c r="H48" s="7" t="s">
        <v>256</v>
      </c>
      <c r="I48" s="7" t="s">
        <v>362</v>
      </c>
      <c r="J48" s="6" t="s">
        <v>19</v>
      </c>
    </row>
    <row r="49" customFormat="false" ht="42" hidden="false" customHeight="true" outlineLevel="0" collapsed="false">
      <c r="A49" s="4" t="s">
        <v>317</v>
      </c>
      <c r="B49" s="5" t="s">
        <v>363</v>
      </c>
      <c r="C49" s="6" t="s">
        <v>364</v>
      </c>
      <c r="D49" s="7" t="s">
        <v>365</v>
      </c>
      <c r="E49" s="7" t="s">
        <v>366</v>
      </c>
      <c r="F49" s="6" t="s">
        <v>367</v>
      </c>
      <c r="G49" s="7" t="s">
        <v>368</v>
      </c>
      <c r="H49" s="7" t="s">
        <v>175</v>
      </c>
      <c r="I49" s="7" t="s">
        <v>362</v>
      </c>
      <c r="J49" s="6" t="s">
        <v>19</v>
      </c>
    </row>
    <row r="50" customFormat="false" ht="42" hidden="false" customHeight="true" outlineLevel="0" collapsed="false">
      <c r="A50" s="9" t="s">
        <v>369</v>
      </c>
      <c r="B50" s="10" t="s">
        <v>370</v>
      </c>
      <c r="C50" s="11" t="s">
        <v>371</v>
      </c>
      <c r="D50" s="12" t="s">
        <v>372</v>
      </c>
      <c r="E50" s="12" t="s">
        <v>373</v>
      </c>
      <c r="F50" s="11" t="s">
        <v>374</v>
      </c>
      <c r="G50" s="12" t="s">
        <v>375</v>
      </c>
      <c r="H50" s="12" t="s">
        <v>256</v>
      </c>
      <c r="I50" s="12" t="s">
        <v>362</v>
      </c>
      <c r="J50" s="11" t="s">
        <v>19</v>
      </c>
    </row>
    <row r="51" customFormat="false" ht="42" hidden="false" customHeight="true" outlineLevel="0" collapsed="false">
      <c r="A51" s="4" t="s">
        <v>376</v>
      </c>
      <c r="B51" s="5" t="s">
        <v>377</v>
      </c>
      <c r="C51" s="6" t="s">
        <v>378</v>
      </c>
      <c r="D51" s="7" t="s">
        <v>379</v>
      </c>
      <c r="E51" s="7" t="s">
        <v>380</v>
      </c>
      <c r="F51" s="6" t="s">
        <v>381</v>
      </c>
      <c r="G51" s="7" t="s">
        <v>382</v>
      </c>
      <c r="H51" s="7" t="s">
        <v>383</v>
      </c>
      <c r="I51" s="7" t="s">
        <v>384</v>
      </c>
      <c r="J51" s="6" t="s">
        <v>19</v>
      </c>
    </row>
    <row r="52" customFormat="false" ht="42" hidden="false" customHeight="true" outlineLevel="0" collapsed="false">
      <c r="A52" s="4" t="s">
        <v>376</v>
      </c>
      <c r="B52" s="5" t="s">
        <v>385</v>
      </c>
      <c r="C52" s="6" t="s">
        <v>386</v>
      </c>
      <c r="D52" s="7" t="s">
        <v>387</v>
      </c>
      <c r="E52" s="7" t="s">
        <v>70</v>
      </c>
      <c r="F52" s="6" t="s">
        <v>71</v>
      </c>
      <c r="G52" s="7" t="s">
        <v>72</v>
      </c>
      <c r="H52" s="7" t="s">
        <v>388</v>
      </c>
      <c r="I52" s="7" t="s">
        <v>389</v>
      </c>
      <c r="J52" s="6" t="s">
        <v>19</v>
      </c>
    </row>
    <row r="53" customFormat="false" ht="42" hidden="false" customHeight="true" outlineLevel="0" collapsed="false">
      <c r="A53" s="4" t="s">
        <v>376</v>
      </c>
      <c r="B53" s="5" t="s">
        <v>390</v>
      </c>
      <c r="C53" s="6" t="s">
        <v>391</v>
      </c>
      <c r="D53" s="7" t="s">
        <v>77</v>
      </c>
      <c r="E53" s="7" t="s">
        <v>78</v>
      </c>
      <c r="F53" s="6" t="s">
        <v>79</v>
      </c>
      <c r="G53" s="7" t="s">
        <v>80</v>
      </c>
      <c r="H53" s="7" t="s">
        <v>388</v>
      </c>
      <c r="I53" s="7" t="s">
        <v>392</v>
      </c>
      <c r="J53" s="8" t="s">
        <v>35</v>
      </c>
    </row>
    <row r="54" customFormat="false" ht="42" hidden="false" customHeight="true" outlineLevel="0" collapsed="false">
      <c r="A54" s="4" t="s">
        <v>376</v>
      </c>
      <c r="B54" s="5" t="s">
        <v>393</v>
      </c>
      <c r="C54" s="6" t="s">
        <v>394</v>
      </c>
      <c r="D54" s="7" t="s">
        <v>395</v>
      </c>
      <c r="E54" s="7" t="s">
        <v>396</v>
      </c>
      <c r="F54" s="6" t="s">
        <v>397</v>
      </c>
      <c r="G54" s="7" t="s">
        <v>398</v>
      </c>
      <c r="H54" s="7" t="s">
        <v>175</v>
      </c>
      <c r="I54" s="7" t="s">
        <v>399</v>
      </c>
      <c r="J54" s="8" t="s">
        <v>35</v>
      </c>
    </row>
  </sheetData>
  <autoFilter ref="A1:J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0"/>
  </cols>
  <sheetData>
    <row r="1" customFormat="false" ht="15" hidden="false" customHeight="false" outlineLevel="0" collapsed="false">
      <c r="A1" s="2" t="s">
        <v>400</v>
      </c>
      <c r="B1" s="2" t="s">
        <v>401</v>
      </c>
    </row>
    <row r="2" customFormat="false" ht="48" hidden="false" customHeight="true" outlineLevel="0" collapsed="false">
      <c r="A2" s="13" t="s">
        <v>402</v>
      </c>
      <c r="B2" s="12" t="s">
        <v>403</v>
      </c>
    </row>
    <row r="3" customFormat="false" ht="48" hidden="false" customHeight="true" outlineLevel="0" collapsed="false">
      <c r="A3" s="13" t="s">
        <v>404</v>
      </c>
      <c r="B3" s="12" t="s">
        <v>405</v>
      </c>
    </row>
    <row r="4" customFormat="false" ht="48" hidden="false" customHeight="true" outlineLevel="0" collapsed="false">
      <c r="A4" s="13" t="s">
        <v>406</v>
      </c>
      <c r="B4" s="12" t="s">
        <v>407</v>
      </c>
    </row>
    <row r="5" customFormat="false" ht="48" hidden="false" customHeight="true" outlineLevel="0" collapsed="false">
      <c r="A5" s="13" t="s">
        <v>408</v>
      </c>
      <c r="B5" s="12" t="s">
        <v>409</v>
      </c>
    </row>
    <row r="6" customFormat="false" ht="48" hidden="false" customHeight="true" outlineLevel="0" collapsed="false">
      <c r="A6" s="13" t="s">
        <v>410</v>
      </c>
      <c r="B6" s="12" t="s">
        <v>411</v>
      </c>
    </row>
    <row r="7" customFormat="false" ht="48" hidden="false" customHeight="true" outlineLevel="0" collapsed="false">
      <c r="A7" s="13" t="s">
        <v>412</v>
      </c>
      <c r="B7" s="12" t="s">
        <v>413</v>
      </c>
    </row>
    <row r="8" customFormat="false" ht="48" hidden="false" customHeight="true" outlineLevel="0" collapsed="false">
      <c r="A8" s="13" t="s">
        <v>414</v>
      </c>
      <c r="B8" s="12" t="s">
        <v>415</v>
      </c>
    </row>
    <row r="9" customFormat="false" ht="48" hidden="false" customHeight="true" outlineLevel="0" collapsed="false">
      <c r="A9" s="13" t="s">
        <v>416</v>
      </c>
      <c r="B9" s="12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</cols>
  <sheetData>
    <row r="1" customFormat="false" ht="15" hidden="false" customHeight="false" outlineLevel="0" collapsed="false">
      <c r="A1" s="2" t="s">
        <v>418</v>
      </c>
      <c r="B1" s="2" t="s">
        <v>419</v>
      </c>
    </row>
    <row r="2" customFormat="false" ht="15" hidden="false" customHeight="false" outlineLevel="0" collapsed="false">
      <c r="A2" s="12" t="s">
        <v>420</v>
      </c>
      <c r="B2" s="13" t="n">
        <f aca="false">COUNTA(场景文案总表!B2:B54)</f>
        <v>53</v>
      </c>
    </row>
    <row r="3" customFormat="false" ht="15" hidden="false" customHeight="false" outlineLevel="0" collapsed="false">
      <c r="A3" s="12" t="s">
        <v>421</v>
      </c>
      <c r="B3" s="13" t="n">
        <f aca="false">COUNTIF(场景文案总表!A2:A54,"通用")</f>
        <v>3</v>
      </c>
    </row>
    <row r="4" customFormat="false" ht="15" hidden="false" customHeight="false" outlineLevel="0" collapsed="false">
      <c r="A4" s="12" t="s">
        <v>422</v>
      </c>
      <c r="B4" s="13" t="n">
        <f aca="false">COUNTIF(场景文案总表!A2:A54,"登录")</f>
        <v>6</v>
      </c>
    </row>
    <row r="5" customFormat="false" ht="15" hidden="false" customHeight="false" outlineLevel="0" collapsed="false">
      <c r="A5" s="12" t="s">
        <v>423</v>
      </c>
      <c r="B5" s="13" t="n">
        <f aca="false">COUNTIF(场景文案总表!A2:A54,"下线列表")</f>
        <v>3</v>
      </c>
    </row>
    <row r="6" customFormat="false" ht="15" hidden="false" customHeight="false" outlineLevel="0" collapsed="false">
      <c r="A6" s="12" t="s">
        <v>424</v>
      </c>
      <c r="B6" s="13" t="n">
        <f aca="false">COUNTIF(场景文案总表!A2:A54,"新增下线")</f>
        <v>9</v>
      </c>
    </row>
    <row r="7" customFormat="false" ht="15" hidden="false" customHeight="false" outlineLevel="0" collapsed="false">
      <c r="A7" s="12" t="s">
        <v>425</v>
      </c>
      <c r="B7" s="13" t="n">
        <f aca="false">COUNTIF(场景文案总表!A2:A54,"修改资料")</f>
        <v>4</v>
      </c>
    </row>
    <row r="8" customFormat="false" ht="15" hidden="false" customHeight="false" outlineLevel="0" collapsed="false">
      <c r="A8" s="12" t="s">
        <v>426</v>
      </c>
      <c r="B8" s="13" t="n">
        <f aca="false">COUNTIF(场景文案总表!A2:A54,"上下分")</f>
        <v>7</v>
      </c>
    </row>
    <row r="9" customFormat="false" ht="15" hidden="false" customHeight="false" outlineLevel="0" collapsed="false">
      <c r="A9" s="12" t="s">
        <v>427</v>
      </c>
      <c r="B9" s="13" t="n">
        <f aca="false">COUNTIF(场景文案总表!A2:A54,"启用禁用")</f>
        <v>2</v>
      </c>
    </row>
    <row r="10" customFormat="false" ht="15" hidden="false" customHeight="false" outlineLevel="0" collapsed="false">
      <c r="A10" s="12" t="s">
        <v>428</v>
      </c>
      <c r="B10" s="13" t="n">
        <f aca="false">COUNTIF(场景文案总表!A2:A54,"修改交收方案")</f>
        <v>7</v>
      </c>
    </row>
    <row r="11" customFormat="false" ht="15" hidden="false" customHeight="false" outlineLevel="0" collapsed="false">
      <c r="A11" s="12" t="s">
        <v>429</v>
      </c>
      <c r="B11" s="13" t="n">
        <f aca="false">COUNTIF(场景文案总表!A2:A54,"修改密码")</f>
        <v>7</v>
      </c>
    </row>
    <row r="12" customFormat="false" ht="15" hidden="false" customHeight="false" outlineLevel="0" collapsed="false">
      <c r="A12" s="12" t="s">
        <v>430</v>
      </c>
      <c r="B12" s="13" t="n">
        <f aca="false">COUNTIF(场景文案总表!A2:A54,"退出")</f>
        <v>1</v>
      </c>
    </row>
    <row r="13" customFormat="false" ht="15" hidden="false" customHeight="false" outlineLevel="0" collapsed="false">
      <c r="A13" s="12" t="s">
        <v>431</v>
      </c>
      <c r="B13" s="13" t="n">
        <f aca="false">COUNTIF(场景文案总表!A2:A54,"系统级")</f>
        <v>4</v>
      </c>
    </row>
    <row r="14" customFormat="false" ht="15" hidden="false" customHeight="false" outlineLevel="0" collapsed="false">
      <c r="A14" s="12" t="s">
        <v>432</v>
      </c>
      <c r="B14" s="13" t="n">
        <f aca="false">COUNTIF(场景文案总表!J2:J54,"技术支持")</f>
        <v>8</v>
      </c>
    </row>
    <row r="15" customFormat="false" ht="15" hidden="false" customHeight="false" outlineLevel="0" collapsed="false">
      <c r="A15" s="12" t="s">
        <v>433</v>
      </c>
      <c r="B15" s="13" t="n">
        <f aca="false">COUNTIF(场景文案总表!E2:E54,"请您*")</f>
        <v>11</v>
      </c>
    </row>
    <row r="16" customFormat="false" ht="15" hidden="false" customHeight="false" outlineLevel="0" collapsed="false">
      <c r="A16" s="12" t="s">
        <v>434</v>
      </c>
      <c r="B16" s="13" t="n">
        <f aca="false">COUNTIF(场景文案总表!E2:E54,"已为您*")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2026-04-20T08:25:33Z</dcterms:created>
  <dc:creator>openpyxl</dc:creator>
  <dc:description/>
  <dc:language>en-US</dc:language>
  <cp:lastModifiedBy/>
  <dcterms:modified xsi:type="dcterms:W3CDTF">2026-04-20T08:25:33Z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